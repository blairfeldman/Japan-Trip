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inerary" sheetId="1" state="visible" r:id="rId3"/>
    <sheet name="Budg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<sst xmlns="http://schemas.openxmlformats.org/spreadsheetml/2006/main" count="492" uniqueCount="254">
  <si>
    <t xml:space="preserve">Japan Trip Itinerary — Sept 25–Oct 6</t>
  </si>
  <si>
    <t xml:space="preserve">Route: Tokyo (4 days) → Hakone onsen (1 night) → Kyoto (3 days) → Osaka (4 days). Arrival Fri 9/25, Narita, 4:30pm.</t>
  </si>
  <si>
    <t xml:space="preserve">Where to Stay</t>
  </si>
  <si>
    <t xml:space="preserve">City</t>
  </si>
  <si>
    <t xml:space="preserve">Recommended Base</t>
  </si>
  <si>
    <t xml:space="preserve">Why</t>
  </si>
  <si>
    <t xml:space="preserve">Tokyo</t>
  </si>
  <si>
    <t xml:space="preserve">Shinjuku — BOOKED: Hotel Gracery Shinjuku</t>
  </si>
  <si>
    <t xml:space="preserve">Central transit hub, best food density, walkable to nightlife.</t>
  </si>
  <si>
    <t xml:space="preserve">Hakone</t>
  </si>
  <si>
    <t xml:space="preserve">Gora — BOOKED: Gora Kadan</t>
  </si>
  <si>
    <t xml:space="preserve">Gora has ropeway access + boutique ryokan with private onsen; Hakone-Yumoto is the transit gateway with more dining options.</t>
  </si>
  <si>
    <t xml:space="preserve">Kyoto</t>
  </si>
  <si>
    <t xml:space="preserve">Gion-Shijo / Kawaramachi / Pontocho — BOOKED: Akari Kyoto Gion</t>
  </si>
  <si>
    <t xml:space="preserve">Walkable to Higashiyama temples, Nishiki Market, and Gion's evening atmosphere; well connected to day-trip trains.</t>
  </si>
  <si>
    <t xml:space="preserve">Osaka</t>
  </si>
  <si>
    <t xml:space="preserve">Namba / Dotonbori — BOOKED: Mercure Tokyu Stay Osaka Namba</t>
  </si>
  <si>
    <t xml:space="preserve">Heart of the food scene and steps from Amerikamura (vintage/secondhand designer shopping) and Shinsaibashi-suji arcade.</t>
  </si>
  <si>
    <t xml:space="preserve">Local Events During Your Trip</t>
  </si>
  <si>
    <t xml:space="preserve">• teamLab immersive art (Tokyo) — Borderless (Azabudai Hills) slotted for Day 3 evening; timed tickets, book 1-2 weeks ahead.</t>
  </si>
  <si>
    <t xml:space="preserve">• Nintendo Museum (Uji, near Kyoto) — BOOKED: 4:00pm entry on Sept 30 (Day 6), purchased directly (not via lottery). Adult tickets ¥3,300.</t>
  </si>
  <si>
    <t xml:space="preserve">• Universal Studios Japan / Super Nintendo World (Osaka) — added as its own full day. Super Nintendo World has separate timed entry; guaranteed via an Express Pass add-on (there's also a free same-day lottery in the USJ app, but it's not guaranteed). Buy tickets ~2 months ahead; Express Passes sell out fast.</t>
  </si>
  <si>
    <t xml:space="preserve">• Zuiki Matsuri (Kitano Tenmangu, Kyoto), Oct 1-5 — return procession (Kanko-sai) is Oct 4, 13:00-17:00, which now falls on your Universal Studios day, so you'd miss it either way in this version.</t>
  </si>
  <si>
    <t xml:space="preserve">• Kyoto Antique Fair (Pulse Plaza) — historically early October (past years Oct 2-4); worth checking if it overlaps with Day 8, which is now a lighter day.</t>
  </si>
  <si>
    <t xml:space="preserve">• Halloween season at Tokyo Disney Resort — parades, themed food, and evening events running during your DisneySea day.</t>
  </si>
  <si>
    <t xml:space="preserve">Day-by-Day Itinerary</t>
  </si>
  <si>
    <t xml:space="preserve">Day / Date</t>
  </si>
  <si>
    <t xml:space="preserve">Theme</t>
  </si>
  <si>
    <t xml:space="preserve">Morning</t>
  </si>
  <si>
    <t xml:space="preserve">Afternoon</t>
  </si>
  <si>
    <t xml:space="preserve">Evening</t>
  </si>
  <si>
    <t xml:space="preserve">Day 1 — Fri 9/25</t>
  </si>
  <si>
    <t xml:space="preserve">Arrival</t>
  </si>
  <si>
    <t xml:space="preserve">In transit / land at Narita ~4:30pm, clear immigration</t>
  </si>
  <si>
    <t xml:space="preserve">Grab an IC card, transfer to Hotel Gracery Shinjuku, check in</t>
  </si>
  <si>
    <t xml:space="preserve">Easy ramen or izakaya dinner near hotel, early night</t>
  </si>
  <si>
    <t xml:space="preserve">Day 2 — Sat 9/26</t>
  </si>
  <si>
    <t xml:space="preserve">Market + Private Food &amp; Workshop Tour</t>
  </si>
  <si>
    <t xml:space="preserve">BOOKED &amp; PAID: Tokyo Tsukiji Fish Market Food and Walking Tour (Travel Japan Together, Airbnb Experience), 8:30-10:30am, meet at 3-chōme-11-8 Tsukiji. Then subway back to Shinjuku (~25-30 min) for Komehyo Shinjuku (opens 11:00am) — Chanel/Burberry hunting until heading back to the hotel by 2pm.</t>
  </si>
  <si>
    <t xml:space="preserve">BOOKED &amp; PAID: Private tour w/ Toshiyuki D. (GoWithGuide) starts 2:00pm at hotel — Asakusa Nakamise Street food tasting (3pm), Senso-ji Temple (3:30pm), Ameshin candy-making workshop (4pm)</t>
  </si>
  <si>
    <t xml:space="preserve">Tour continues: okonomiyaki dinner (6pm), izakaya bar hopping (8pm) — tour ends 10pm</t>
  </si>
  <si>
    <t xml:space="preserve">Day 3 — Sun 9/27</t>
  </si>
  <si>
    <t xml:space="preserve">Shibuya + Ginza + Art + Omakase</t>
  </si>
  <si>
    <t xml:space="preserve">Early breakfast: Flipper's Shibuya (fluffy soufflé pancakes) ~8:00am, Shibuya Crossing, Hachiko, then Vintage Qoo Tokyo (Omotesando, opens 11:30am, ~10-15 min from Shibuya) — dedicated Chanel basement floor, ~2,000 vintage pieces</t>
  </si>
  <si>
    <t xml:space="preserve">Subway to Azabudai Hills (~20-25 min) by early afternoon, lunch there, teamLab Borderless enter ~2:00-3:00pm</t>
  </si>
  <si>
    <t xml:space="preserve">teamLab through ~4:30-5:30pm, then subway to Ginza (~15-20 min) for vintage/designer resale shopping (Brand Off Main + Annex, Komehyo, Allu, Casanova Vintage) before Sushi Itsutsu, BOOKED: 8:00pm</t>
  </si>
  <si>
    <t xml:space="preserve">Day 4 — Mon 9/28</t>
  </si>
  <si>
    <t xml:space="preserve">Disney Sea</t>
  </si>
  <si>
    <t xml:space="preserve">Early entry at Tokyo DisneySea</t>
  </si>
  <si>
    <t xml:space="preserve">DisneySea rides &amp; attractions continue</t>
  </si>
  <si>
    <t xml:space="preserve">DisneySea nighttime water show, dinner in-park</t>
  </si>
  <si>
    <t xml:space="preserve">Day 5 — Tue 9/29</t>
  </si>
  <si>
    <t xml:space="preserve">Hakone (1 night)</t>
  </si>
  <si>
    <t xml:space="preserve">Check out, BOOKED: Odakyu Romancecar "Hakone 25" (EXE6), Shinjuku 12:20 → Hakone-Yumoto 13:47, Car 1 seats 8C/8D</t>
  </si>
  <si>
    <t xml:space="preserve">Owakudani volcanic valley + ropeway, Hakone Open-Air Museum</t>
  </si>
  <si>
    <t xml:space="preserve">Check into Gora Kadan, kaiseki dinner, evening onsen soak</t>
  </si>
  <si>
    <t xml:space="preserve">Day 6 — Wed 9/30</t>
  </si>
  <si>
    <t xml:space="preserve">Travel to Kyoto + Nintendo Museum</t>
  </si>
  <si>
    <t xml:space="preserve">Lake Ashi cruise, Hakone Shrine's floating torii gate, then checkout — wrap up in time to reach Odawara Station by ~11:45am</t>
  </si>
  <si>
    <t xml:space="preserve">BOOKED: Shinkansen HIKARI 641, Odawara 12:07 → Kyoto 14:12, Car 10 Seat 12-D, then Kintetsu to Uji for Nintendo Museum 4:00pm entry</t>
  </si>
  <si>
    <t xml:space="preserve">Nintendo Museum (through ~7-8pm), quick dinner near Uji or back in Kyoto, check into hotel</t>
  </si>
  <si>
    <t xml:space="preserve">Day 7 — Thu 10/1</t>
  </si>
  <si>
    <t xml:space="preserve">Kyoto Highlights</t>
  </si>
  <si>
    <t xml:space="preserve">Fushimi Inari Shrine — go early to beat crowds and heat</t>
  </si>
  <si>
    <t xml:space="preserve">Kiyomizu-dera + Higashiyama district (good spot for a licensed local guide, ~¥20,000-35,000/half day)</t>
  </si>
  <si>
    <t xml:space="preserve">Dinner in Gion or Pontocho — an easy walk back to the hotel from either</t>
  </si>
  <si>
    <t xml:space="preserve">Day 8 — Fri 10/2</t>
  </si>
  <si>
    <t xml:space="preserve">Tea Ceremony + Craft + Market</t>
  </si>
  <si>
    <t xml:space="preserve">BOOKED: Traditional Tea Ceremony with Matcha (Japan Wonder Travel), 11:00am-1:15pm (2.25 hrs), meet at Yamato Town, 5F</t>
  </si>
  <si>
    <t xml:space="preserve">Chopstick-making or lacquerware workshop in Kyoto</t>
  </si>
  <si>
    <t xml:space="preserve">Nishiki Market food crawl (consider a small-group food-walk tour, ~$70-120/person)</t>
  </si>
  <si>
    <t xml:space="preserve">Day 9 — Sat 10/3</t>
  </si>
  <si>
    <t xml:space="preserve">Travel to Osaka</t>
  </si>
  <si>
    <t xml:space="preserve">Kyoto checkout, train to Osaka, check into Namba/Dotonbori hotel</t>
  </si>
  <si>
    <t xml:space="preserve">Amerikamura vintage &amp; secondhand designer shopping</t>
  </si>
  <si>
    <t xml:space="preserve">Dotonbori food crawl: takoyaki, okonomiyaki, kushikatsu (great fit for a small-group food tour, ~$80-150/person)</t>
  </si>
  <si>
    <t xml:space="preserve">Day 10 — Sun 10/4</t>
  </si>
  <si>
    <t xml:space="preserve">Universal Studios Japan</t>
  </si>
  <si>
    <t xml:space="preserve">Super Nintendo World — arrive at/before park open, use Express Pass timed entry</t>
  </si>
  <si>
    <t xml:space="preserve">Wizarding World of Harry Potter, Minion Park, other USJ attractions</t>
  </si>
  <si>
    <t xml:space="preserve">Dinner in-park or back in Dotonbori</t>
  </si>
  <si>
    <t xml:space="preserve">Day 11 — Mon 10/5</t>
  </si>
  <si>
    <t xml:space="preserve">Osaka Castle</t>
  </si>
  <si>
    <t xml:space="preserve">Shinsaibashi-suji shopping arcade, more vintage hunting</t>
  </si>
  <si>
    <t xml:space="preserve">Umeda Sky Building views + izakaya dinner</t>
  </si>
  <si>
    <t xml:space="preserve">Day 12 — Tue 10/6</t>
  </si>
  <si>
    <t xml:space="preserve">Osaka + Departure</t>
  </si>
  <si>
    <t xml:space="preserve">Relaxed morning: last-minute Shinsaibashi shopping or a final Osaka meal</t>
  </si>
  <si>
    <t xml:space="preserve">Depart hotel by ~1:30-2:00pm, Nankai Rapi:t from Namba to Kansai Airport (~35-40 min)</t>
  </si>
  <si>
    <t xml:space="preserve">DEPARTURE: 5:45pm flight from KIX — arrive by ~3:15-3:45pm for international check-in/security</t>
  </si>
  <si>
    <t xml:space="preserve">Notes</t>
  </si>
  <si>
    <t xml:space="preserve">• JR Pass: with this route (Tokyo-Hakone-Kyoto-Osaka) a 7-day JR Pass covering Days 5-11, or individual Shinkansen tickets, is worth comparing.</t>
  </si>
  <si>
    <t xml:space="preserve">• Sushi omakase dinner: BOOKED — Sushi Itsutsu, Ginza, 8:00pm, ~¥12,100/person. Since it follows teamLab, plan to enter teamLab by ~5:00-5:30pm so you have a comfortable buffer for the 15-20 min transit to Ginza.</t>
  </si>
  <si>
    <t xml:space="preserve">• Tsukiji Outer Market: most stalls open ~7am, best before 9am.</t>
  </si>
  <si>
    <t xml:space="preserve">• Knife-making workshop: Kappabashi ('Kitchen Town') has several studios; book a couple weeks ahead.</t>
  </si>
  <si>
    <t xml:space="preserve">• teamLab tickets: book the specific timed entry window in advance, both venues sell out.</t>
  </si>
  <si>
    <t xml:space="preserve">• Nintendo Museum (Uji): ticket booked for 4:00pm entry on Sept 30 — arrive with plenty of buffer after the Odawara-Kyoto Shinkansen and the connecting Kintetsu train to Ogura Station.</t>
  </si>
  <si>
    <t xml:space="preserve">• Chopstick workshop: several Kyoto studios offer make-your-own lacquered chopsticks; pre-book.</t>
  </si>
  <si>
    <t xml:space="preserve">• Amerikamura (Osaka): best single spot for secondhand designer/vintage fashion, cheaper than Tokyo equivalents.</t>
  </si>
  <si>
    <t xml:space="preserve">• Universal Studios Japan: buy park tickets ~2 months ahead; Super Nintendo World requires a separate timed entry, most reliably guaranteed via an Express Pass (there's also a free same-day in-app lottery, but it's first-come/luck-based).</t>
  </si>
  <si>
    <t xml:space="preserve">• One-night Hakone: Owakudani/ropeway/Open-Air Museum on Day 5 afternoon, Lake Ashi cruise on Day 6 morning before the Shinkansen to Kyoto and the 4pm Nintendo Museum entry.</t>
  </si>
  <si>
    <t xml:space="preserve">• Kyoto hotel location: Akari Kyoto Gion is right in the heart of Gion (near Hanamikoji, Yasaka Shrine, Kennin-ji, Ninenzaka/Sannenzaka) — an easy walk to Days 6-7 evening plans in Gion/Pontocho, and about a 15-20 min walk (or short taxi/bus) to Nishiki Market for Day 8.</t>
  </si>
  <si>
    <t xml:space="preserve">• Ginza vintage/designer resale (Day 3 evening): Brand Off Main Store (5-5-9 Ginza) + Annex (5-3-12 Ginza) — Hermes-heavy, most famous branch; Komehyo Ginza (flagship on Chuo-dori) — Japan's largest resale department store; Allu Ginza — four floors, near-mint Hermes + watches; Casanova Vintage Ginza (7-10-18 Ginza) — rare LV finds. All open until ~8pm, an easy walk from each other.</t>
  </si>
  <si>
    <t xml:space="preserve">• Komehyo Shinjuku (Day 2, between tours): opens 11:00am, address 3-19-2/3-5-6 Shinjuku — close to Hotel Gracery. Good window here (~10:30am-2pm free), much more relaxed than trying to fit it before Day 5's Romancecar departure.</t>
  </si>
  <si>
    <t xml:space="preserve">• Vintage Qoo Tokyo (Day 3 morning): Colonnade Jingumae B1F-2F, 5-2-6 Jingumae, Shibuya-ku — 2 min walk from Omotesando Station Exit A1. Opens 11:30am. Basement floor is Chanel-only (~2,000 pieces); 1F has Louis Vuitton/Fendi/Dior, 2F has watches/jewelry/Hermès Kelly bags. Bring your passport for tax-free.</t>
  </si>
  <si>
    <t xml:space="preserve">Japan Trip Budget — Sept 25–Oct 6</t>
  </si>
  <si>
    <t xml:space="preserve">Assumptions</t>
  </si>
  <si>
    <t xml:space="preserve">Travelers</t>
  </si>
  <si>
    <t xml:space="preserve">Adjust if not 2 — most per-person line items below scale off this cell</t>
  </si>
  <si>
    <t xml:space="preserve">Exchange rate (JPY per $1)</t>
  </si>
  <si>
    <t xml:space="preserve">Source: 2026 reference rate used across multiple 2026 Japan travel-cost guides, ~150-160; adjust to the day's actual rate</t>
  </si>
  <si>
    <t xml:space="preserve">Itemized Costs</t>
  </si>
  <si>
    <t xml:space="preserve">Blue = editable inputs (prices, hotel costs). Yellow = needs your input (Kyoto and Osaka hotels are placeholder estimates until you tell me what you've booked). All prices are researched estimates / typical ranges as of mid-2026 — treat as planning figures, not quotes.</t>
  </si>
  <si>
    <t xml:space="preserve">Day</t>
  </si>
  <si>
    <t xml:space="preserve">Date</t>
  </si>
  <si>
    <t xml:space="preserve">Category</t>
  </si>
  <si>
    <t xml:space="preserve">Item</t>
  </si>
  <si>
    <t xml:space="preserve">Optional?</t>
  </si>
  <si>
    <t xml:space="preserve">Unit Price (JPY)</t>
  </si>
  <si>
    <t xml:space="preserve">Unit Price (USD)</t>
  </si>
  <si>
    <t xml:space="preserve">Multiplier</t>
  </si>
  <si>
    <t xml:space="preserve">Total (JPY)</t>
  </si>
  <si>
    <t xml:space="preserve">Total (USD)</t>
  </si>
  <si>
    <t xml:space="preserve">Per-Traveler (USD)</t>
  </si>
  <si>
    <t xml:space="preserve">Notes / Source</t>
  </si>
  <si>
    <t xml:space="preserve">Fri 9/25</t>
  </si>
  <si>
    <t xml:space="preserve">Lodging</t>
  </si>
  <si>
    <t xml:space="preserve">Gracery Hotel (1 of 4 nights)</t>
  </si>
  <si>
    <t xml:space="preserve">N</t>
  </si>
  <si>
    <t xml:space="preserve">Given by user: Gracery Hotel, $956.45 total for Sept 25-29 (4 nights), split evenly ~$239.11/night</t>
  </si>
  <si>
    <t xml:space="preserve">Transport</t>
  </si>
  <si>
    <t xml:space="preserve">Airport transfer (Narita Express / Limousine Bus)</t>
  </si>
  <si>
    <t xml:space="preserve">Estimate — Narita Express ~¥3,070-3,250 one-way, Limousine Bus similar</t>
  </si>
  <si>
    <t xml:space="preserve">Food</t>
  </si>
  <si>
    <t xml:space="preserve">Arrival day meals (est.)</t>
  </si>
  <si>
    <t xml:space="preserve">Rough daily food estimate; late arrival, light dinner</t>
  </si>
  <si>
    <t xml:space="preserve">Sat 9/26</t>
  </si>
  <si>
    <t xml:space="preserve">Gracery Hotel (2 of 4 nights)</t>
  </si>
  <si>
    <t xml:space="preserve">Activities</t>
  </si>
  <si>
    <t xml:space="preserve">Tokyo Tsukiji Fish Market Food and Walking Tour (Travel Japan Together)</t>
  </si>
  <si>
    <t xml:space="preserve">BOOKED &amp; PAID: Airbnb Experience, Sat 9/26, 8:30-10:30am (2 hrs), meet at 3-chōme-11-8 Tsukiji. $25/person.</t>
  </si>
  <si>
    <t xml:space="preserve">Tokyo subway/day travel</t>
  </si>
  <si>
    <t xml:space="preserve">Estimate — Tokyo Metro day pass / IC card taps</t>
  </si>
  <si>
    <t xml:space="preserve">Extra snacks/drinks beyond the tour (est.)</t>
  </si>
  <si>
    <t xml:space="preserve">Reduced further — the booked Tsukiji tour is a food tour with tastings included; this just covers anything extra</t>
  </si>
  <si>
    <t xml:space="preserve">Sun 9/27</t>
  </si>
  <si>
    <t xml:space="preserve">Gracery Hotel (3 of 4 nights)</t>
  </si>
  <si>
    <t xml:space="preserve">(Skipped) Knife-making workshop — replaced with Shibuya/Ginza day</t>
  </si>
  <si>
    <t xml:space="preserve">Removed per request — Day 3 now spent in Shibuya and Ginza instead of Kappabashi</t>
  </si>
  <si>
    <t xml:space="preserve">teamLab Borderless ticket</t>
  </si>
  <si>
    <t xml:space="preserve">Official pricing ¥3,800-4,800/adult, avg used</t>
  </si>
  <si>
    <t xml:space="preserve">Sushi Itsutsu omakase dinner (Ginza)</t>
  </si>
  <si>
    <t xml:space="preserve">Chosen: Sushi Itsutsu, Ginza — BOOKED 8:00pm, ¥12,100/person (tax incl.)</t>
  </si>
  <si>
    <t xml:space="preserve">Tokyo subway/day travel (Shibuya-Azabudai-Ginza)</t>
  </si>
  <si>
    <t xml:space="preserve">One-directional route now: Shibuya → Azabudai Hills (teamLab) → Ginza (shopping + dinner), no backtracking</t>
  </si>
  <si>
    <t xml:space="preserve">Mon 9/28</t>
  </si>
  <si>
    <t xml:space="preserve">Gracery Hotel (4 of 4 nights)</t>
  </si>
  <si>
    <t xml:space="preserve">Tokyo DisneySea 1-day ticket</t>
  </si>
  <si>
    <t xml:space="preserve">Official date-based pricing ¥7,900-10,900/adult, avg used</t>
  </si>
  <si>
    <t xml:space="preserve">In-park meals (est.)</t>
  </si>
  <si>
    <t xml:space="preserve">Theme park food premium estimate</t>
  </si>
  <si>
    <t xml:space="preserve">Transport to/from Maihama (DisneySea)</t>
  </si>
  <si>
    <t xml:space="preserve">Estimate — JR/monorail fare</t>
  </si>
  <si>
    <t xml:space="preserve">Tue 9/29</t>
  </si>
  <si>
    <t xml:space="preserve">Gora Kadan, 1 night</t>
  </si>
  <si>
    <t xml:space="preserve">Given by user: Gora Kadan, $1,145.99 total for Sept 29-30 (1 night)</t>
  </si>
  <si>
    <t xml:space="preserve">Odakyu Romancecar "Hakone 25" (EXE6), Shinjuku-Hakone-Yumoto</t>
  </si>
  <si>
    <t xml:space="preserve">BOOKED: Booking #00008, Tue 9/29, 12:20 Shinjuku → 13:47 Hakone-Yumoto, Car 1 seats 8C/8D. ¥2,300 total is the limited express reserved-seat surcharge for both adults — base IC card fare (~¥1,190/person) is separate, paid via Suica/Pasmo tap</t>
  </si>
  <si>
    <t xml:space="preserve">Hakone Free Pass (2-day, from Shinjuku)</t>
  </si>
  <si>
    <t xml:space="preserve">Official Odakyu pricing, covers ropeway/cablecar/boat/bus</t>
  </si>
  <si>
    <t xml:space="preserve">Lunch en route (est.)</t>
  </si>
  <si>
    <t xml:space="preserve">Kaiseki dinner + breakfast assumed included in ryokan rate</t>
  </si>
  <si>
    <t xml:space="preserve">Wed 9/30</t>
  </si>
  <si>
    <t xml:space="preserve">Akari Kyoto Gion (1 of 3 nights)</t>
  </si>
  <si>
    <t xml:space="preserve">Given by user: Akari Kyoto Gion, 46-7 Bishamon-cho, Gion, ¥81,000 total for Sept 30-Oct 3 (3 nights), split evenly</t>
  </si>
  <si>
    <t xml:space="preserve">Shinkansen HIKARI 641, Odawara-Kyoto</t>
  </si>
  <si>
    <t xml:space="preserve">BOOKED: HIKARI 641, Wed 9/30, 12:07 Odawara → 14:12 Kyoto, Car 10 Seat 12-D. $101/person as given</t>
  </si>
  <si>
    <t xml:space="preserve">Quick dinner near Uji/Kyoto + travel day meals (est.)</t>
  </si>
  <si>
    <t xml:space="preserve">Replaces Pontocho dinner since evening now spent at Nintendo Museum</t>
  </si>
  <si>
    <t xml:space="preserve">Thu 10/1</t>
  </si>
  <si>
    <t xml:space="preserve">Akari Kyoto Gion (2 of 3 nights)</t>
  </si>
  <si>
    <t xml:space="preserve">Kiyomizu-dera entry</t>
  </si>
  <si>
    <t xml:space="preserve">Official entry fee</t>
  </si>
  <si>
    <t xml:space="preserve">Higashiyama local guide (half day)</t>
  </si>
  <si>
    <t xml:space="preserve">Y</t>
  </si>
  <si>
    <t xml:space="preserve">Estimate — licensed local guide ¥20,000-35,000/half day, booking not per-person</t>
  </si>
  <si>
    <t xml:space="preserve">Kyoto bus/subway day pass</t>
  </si>
  <si>
    <t xml:space="preserve">Official Bus &amp; Subway 1-Day Combo Pass</t>
  </si>
  <si>
    <t xml:space="preserve">Meals (est.)</t>
  </si>
  <si>
    <t xml:space="preserve">General daily food estimate</t>
  </si>
  <si>
    <t xml:space="preserve">Fri 10/2</t>
  </si>
  <si>
    <t xml:space="preserve">Akari Kyoto Gion (3 of 3 nights)</t>
  </si>
  <si>
    <t xml:space="preserve">Nintendo Museum ticket (Uji)</t>
  </si>
  <si>
    <t xml:space="preserve">Official adult ticket price, ¥3,300 — BOOKED for 4:00pm entry on 9/30, direct purchase (not lottery)</t>
  </si>
  <si>
    <t xml:space="preserve">Chopstick-making workshop w/ engraving</t>
  </si>
  <si>
    <t xml:space="preserve">Typical Kyoto workshop ¥3,000-5,000/person incl. engraving</t>
  </si>
  <si>
    <t xml:space="preserve">Nishiki Market food-walk tour</t>
  </si>
  <si>
    <t xml:space="preserve">Small-group food tour, ~$70-120/person, midpoint used</t>
  </si>
  <si>
    <t xml:space="preserve">Round-trip to Uji (Kintetsu Line)</t>
  </si>
  <si>
    <t xml:space="preserve">~¥360 each way to Ogura Station for Nintendo Museum</t>
  </si>
  <si>
    <t xml:space="preserve">Meals beyond the food tour (est.)</t>
  </si>
  <si>
    <t xml:space="preserve">Reduced since Nishiki tour covers a lot of eating</t>
  </si>
  <si>
    <t xml:space="preserve">Sat 10/3</t>
  </si>
  <si>
    <t xml:space="preserve">Mercure Tokyu Stay Osaka Namba (1 of 3 nights)</t>
  </si>
  <si>
    <t xml:space="preserve">Given by user: Mercure Tokyu Stay Osaka Namba, $654.05 total for Oct 3-6 (3 nights), split evenly</t>
  </si>
  <si>
    <t xml:space="preserve">JR Special Rapid, Kyoto-Osaka</t>
  </si>
  <si>
    <t xml:space="preserve">Regular (non-Shinkansen) fare, ~29 min</t>
  </si>
  <si>
    <t xml:space="preserve">Dotonbori food-walk tour</t>
  </si>
  <si>
    <t xml:space="preserve">Small-group food tour, ~$80-150/person, midpoint used</t>
  </si>
  <si>
    <t xml:space="preserve">Reduced since Dotonbori tour covers a lot of eating</t>
  </si>
  <si>
    <t xml:space="preserve">Sun 10/4</t>
  </si>
  <si>
    <t xml:space="preserve">Mercure Tokyu Stay Osaka Namba (2 of 3 nights)</t>
  </si>
  <si>
    <t xml:space="preserve">Universal Studios Japan 1-Day Studio Pass</t>
  </si>
  <si>
    <t xml:space="preserve">Given by user: ¥57,400 total for 2 tickets (¥28,700/person) — assumed to be the base 1-Day Studio Pass, separate from the Express Pass below</t>
  </si>
  <si>
    <t xml:space="preserve">USJ Express Pass (incl. Super Nintendo World entry)</t>
  </si>
  <si>
    <t xml:space="preserve">Estimate — Express Pass tiers covering Super Nintendo World run ~¥17,000-29,000/person depending on date/tier; midpoint used. A free same-day in-app lottery also exists for SNW entry but isn't guaranteed</t>
  </si>
  <si>
    <t xml:space="preserve">Subway/JR to Universal City Station</t>
  </si>
  <si>
    <t xml:space="preserve">Estimate — JR Yumesaki Line fare</t>
  </si>
  <si>
    <t xml:space="preserve">Mon 10/5</t>
  </si>
  <si>
    <t xml:space="preserve">Mercure Tokyu Stay Osaka Namba (3 of 3 nights)</t>
  </si>
  <si>
    <t xml:space="preserve">Osaka Castle entry</t>
  </si>
  <si>
    <t xml:space="preserve">Osaka subway day pass</t>
  </si>
  <si>
    <t xml:space="preserve">Estimate — Osaka Metro day pass</t>
  </si>
  <si>
    <t xml:space="preserve">Tue 10/6</t>
  </si>
  <si>
    <t xml:space="preserve">Transfer to Kansai Airport</t>
  </si>
  <si>
    <t xml:space="preserve">Estimate — JR rapid/Nankai to KIX</t>
  </si>
  <si>
    <t xml:space="preserve">Last-day meals (est.)</t>
  </si>
  <si>
    <t xml:space="preserve">Light departure day</t>
  </si>
  <si>
    <t xml:space="preserve">Tokyo Local Foods &amp; Workshop Tour (private, GoWithGuide - Toshiyuki D.)</t>
  </si>
  <si>
    <t xml:space="preserve">BOOKED &amp; PAID: private 8-hr tour, 2:00pm-10:00pm, guide Toshiyuki D. — Asakusa Nakamise food tasting, Senso-ji, Ameshin candy-making workshop, okonomiyaki dinner, izakaya bar hopping. ¥38,000 total for 2 adults.</t>
  </si>
  <si>
    <t xml:space="preserve">Flipper's Shibuya — fluffy soufflé pancake breakfast</t>
  </si>
  <si>
    <t xml:space="preserve">Estimate — Flipper's "Miracle Pancake" course, ~¥1,500-2,200/person incl. drink</t>
  </si>
  <si>
    <t xml:space="preserve">Traditional Tea Ceremony with Matcha (Japan Wonder Travel)</t>
  </si>
  <si>
    <t xml:space="preserve">BOOKED &amp; PAID: Airbnb Experience, 11:00am-1:15pm, meet at Yamato Town 5F. $29/person.</t>
  </si>
  <si>
    <t xml:space="preserve">Daily Summary</t>
  </si>
  <si>
    <t xml:space="preserve">All figures pull automatically from the Itemized Costs table above. 'Incl. optional' includes guides/food tours; 'Core' excludes them.</t>
  </si>
  <si>
    <t xml:space="preserve">Lodging (JPY)</t>
  </si>
  <si>
    <t xml:space="preserve">Lodging (USD)</t>
  </si>
  <si>
    <t xml:space="preserve">Transport (JPY)</t>
  </si>
  <si>
    <t xml:space="preserve">Transport (USD)</t>
  </si>
  <si>
    <t xml:space="preserve">Activities (JPY)</t>
  </si>
  <si>
    <t xml:space="preserve">Activities (USD)</t>
  </si>
  <si>
    <t xml:space="preserve">Food (JPY)</t>
  </si>
  <si>
    <t xml:space="preserve">Food (USD)</t>
  </si>
  <si>
    <t xml:space="preserve">Optional (JPY)</t>
  </si>
  <si>
    <t xml:space="preserve">Optional (USD)</t>
  </si>
  <si>
    <t xml:space="preserve">Day Total incl. optional (JPY)</t>
  </si>
  <si>
    <t xml:space="preserve">Day Total incl. optional (USD)</t>
  </si>
  <si>
    <t xml:space="preserve">TOTAL</t>
  </si>
  <si>
    <t xml:space="preserve">Core trip cost (excluding optional guides/tours)</t>
  </si>
  <si>
    <t xml:space="preserve">Optional guides/tours only</t>
  </si>
  <si>
    <t xml:space="preserve">Grand total, all-in (incl. optional)</t>
  </si>
  <si>
    <t xml:space="preserve">Per-traveler cost, all-in</t>
  </si>
  <si>
    <t xml:space="preserve">PLACEHOLDER hotels (Kyoto, Osaka) are estimates — tell me what you've booked and I'll swap in the real numbers and the totals will recalculate automatically. Yellow-filled cells in the Itemized Costs table are the ones to update.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</si>
</sst>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¥#,##0;&quot;(¥&quot;#,##0\);\-"/>
    <numFmt numFmtId="166" formatCode="\$#,##0;&quot;($&quot;#,##0\);\-"/>
    <numFmt numFmtId="167" formatCode="\¥#,##0;&quot;(¥&quot;#,##0\);\-"/>
    <numFmt numFmtId="168" formatCode="\$#,##0;&quot;($&quot;#,##0\);\-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4" min="3" style="1" width="38"/>
    <col collapsed="false" customWidth="true" hidden="false" outlineLevel="0" max="5" min="5" style="1" width="4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26.25" hidden="false" customHeight="true" outlineLevel="0" collapsed="false">
      <c r="A6" s="6" t="s">
        <v>6</v>
      </c>
      <c r="B6" s="6" t="s">
        <v>7</v>
      </c>
      <c r="C6" s="6" t="s">
        <v>8</v>
      </c>
    </row>
    <row r="7" customFormat="false" ht="51.75" hidden="false" customHeight="true" outlineLevel="0" collapsed="false">
      <c r="A7" s="6" t="s">
        <v>9</v>
      </c>
      <c r="B7" s="6" t="s">
        <v>10</v>
      </c>
      <c r="C7" s="6" t="s">
        <v>11</v>
      </c>
    </row>
    <row r="8" customFormat="false" ht="51.75" hidden="false" customHeight="true" outlineLevel="0" collapsed="false">
      <c r="A8" s="6" t="s">
        <v>12</v>
      </c>
      <c r="B8" s="6" t="s">
        <v>13</v>
      </c>
      <c r="C8" s="6" t="s">
        <v>14</v>
      </c>
    </row>
    <row r="9" customFormat="false" ht="51.75" hidden="false" customHeight="true" outlineLevel="0" collapsed="false">
      <c r="A9" s="6" t="s">
        <v>15</v>
      </c>
      <c r="B9" s="6" t="s">
        <v>16</v>
      </c>
      <c r="C9" s="6" t="s">
        <v>17</v>
      </c>
    </row>
    <row r="11" customFormat="false" ht="15" hidden="false" customHeight="true" outlineLevel="0" collapsed="false">
      <c r="A11" s="4" t="s">
        <v>18</v>
      </c>
    </row>
    <row r="12" customFormat="false" ht="15" hidden="false" customHeight="true" outlineLevel="0" collapsed="false">
      <c r="A12" s="7" t="s">
        <v>19</v>
      </c>
      <c r="B12" s="7"/>
      <c r="C12" s="7"/>
      <c r="D12" s="7"/>
    </row>
    <row r="13" customFormat="false" ht="39" hidden="false" customHeight="true" outlineLevel="0" collapsed="false">
      <c r="A13" s="7" t="s">
        <v>20</v>
      </c>
      <c r="B13" s="7"/>
      <c r="C13" s="7"/>
      <c r="D13" s="7"/>
    </row>
    <row r="14" customFormat="false" ht="39" hidden="false" customHeight="true" outlineLevel="0" collapsed="false">
      <c r="A14" s="7" t="s">
        <v>21</v>
      </c>
      <c r="B14" s="7"/>
      <c r="C14" s="7"/>
      <c r="D14" s="7"/>
    </row>
    <row r="15" customFormat="false" ht="26.25" hidden="false" customHeight="true" outlineLevel="0" collapsed="false">
      <c r="A15" s="7" t="s">
        <v>22</v>
      </c>
      <c r="B15" s="7"/>
      <c r="C15" s="7"/>
      <c r="D15" s="7"/>
    </row>
    <row r="16" customFormat="false" ht="26.25" hidden="false" customHeight="true" outlineLevel="0" collapsed="false">
      <c r="A16" s="7" t="s">
        <v>23</v>
      </c>
      <c r="B16" s="7"/>
      <c r="C16" s="7"/>
      <c r="D16" s="7"/>
    </row>
    <row r="17" customFormat="false" ht="15" hidden="false" customHeight="true" outlineLevel="0" collapsed="false">
      <c r="A17" s="7" t="s">
        <v>24</v>
      </c>
      <c r="B17" s="7"/>
      <c r="C17" s="7"/>
      <c r="D17" s="7"/>
    </row>
    <row r="19" customFormat="false" ht="15" hidden="false" customHeight="true" outlineLevel="0" collapsed="false">
      <c r="A19" s="4" t="s">
        <v>25</v>
      </c>
    </row>
    <row r="20" customFormat="false" ht="15" hidden="false" customHeight="true" outlineLevel="0" collapsed="false">
      <c r="A20" s="8" t="s">
        <v>26</v>
      </c>
      <c r="B20" s="8" t="s">
        <v>27</v>
      </c>
      <c r="C20" s="8" t="s">
        <v>28</v>
      </c>
      <c r="D20" s="8" t="s">
        <v>29</v>
      </c>
      <c r="E20" s="8" t="s">
        <v>30</v>
      </c>
    </row>
    <row r="21" customFormat="false" ht="26.25" hidden="false" customHeight="true" outlineLevel="0" collapsed="false">
      <c r="A21" s="9" t="s">
        <v>31</v>
      </c>
      <c r="B21" s="6" t="s">
        <v>32</v>
      </c>
      <c r="C21" s="6" t="s">
        <v>33</v>
      </c>
      <c r="D21" s="6" t="s">
        <v>34</v>
      </c>
      <c r="E21" s="6" t="s">
        <v>35</v>
      </c>
    </row>
    <row r="22" customFormat="false" ht="39" hidden="false" customHeight="true" outlineLevel="0" collapsed="false">
      <c r="A22" s="9" t="s">
        <v>36</v>
      </c>
      <c r="B22" s="6" t="s">
        <v>37</v>
      </c>
      <c r="C22" s="6" t="s">
        <v>38</v>
      </c>
      <c r="D22" s="6" t="s">
        <v>39</v>
      </c>
      <c r="E22" s="6" t="s">
        <v>40</v>
      </c>
    </row>
    <row r="23" customFormat="false" ht="39" hidden="false" customHeight="true" outlineLevel="0" collapsed="false">
      <c r="A23" s="9" t="s">
        <v>41</v>
      </c>
      <c r="B23" s="6" t="s">
        <v>42</v>
      </c>
      <c r="C23" s="6" t="s">
        <v>43</v>
      </c>
      <c r="D23" s="6" t="s">
        <v>44</v>
      </c>
      <c r="E23" s="6" t="s">
        <v>45</v>
      </c>
    </row>
    <row r="24" customFormat="false" ht="26.25" hidden="false" customHeight="true" outlineLevel="0" collapsed="false">
      <c r="A24" s="9" t="s">
        <v>46</v>
      </c>
      <c r="B24" s="6" t="s">
        <v>47</v>
      </c>
      <c r="C24" s="6" t="s">
        <v>48</v>
      </c>
      <c r="D24" s="6" t="s">
        <v>49</v>
      </c>
      <c r="E24" s="6" t="s">
        <v>50</v>
      </c>
    </row>
    <row r="25" customFormat="false" ht="39" hidden="false" customHeight="true" outlineLevel="0" collapsed="false">
      <c r="A25" s="9" t="s">
        <v>51</v>
      </c>
      <c r="B25" s="6" t="s">
        <v>52</v>
      </c>
      <c r="C25" s="6" t="s">
        <v>53</v>
      </c>
      <c r="D25" s="6" t="s">
        <v>54</v>
      </c>
      <c r="E25" s="6" t="s">
        <v>55</v>
      </c>
    </row>
    <row r="26" customFormat="false" ht="26.25" hidden="false" customHeight="true" outlineLevel="0" collapsed="false">
      <c r="A26" s="9" t="s">
        <v>56</v>
      </c>
      <c r="B26" s="6" t="s">
        <v>57</v>
      </c>
      <c r="C26" s="6" t="s">
        <v>58</v>
      </c>
      <c r="D26" s="6" t="s">
        <v>59</v>
      </c>
      <c r="E26" s="6" t="s">
        <v>60</v>
      </c>
    </row>
    <row r="27" customFormat="false" ht="39" hidden="false" customHeight="true" outlineLevel="0" collapsed="false">
      <c r="A27" s="9" t="s">
        <v>61</v>
      </c>
      <c r="B27" s="6" t="s">
        <v>62</v>
      </c>
      <c r="C27" s="6" t="s">
        <v>63</v>
      </c>
      <c r="D27" s="6" t="s">
        <v>64</v>
      </c>
      <c r="E27" s="6" t="s">
        <v>65</v>
      </c>
    </row>
    <row r="28" customFormat="false" ht="39" hidden="false" customHeight="true" outlineLevel="0" collapsed="false">
      <c r="A28" s="9" t="s">
        <v>66</v>
      </c>
      <c r="B28" s="6" t="s">
        <v>67</v>
      </c>
      <c r="C28" s="6" t="s">
        <v>68</v>
      </c>
      <c r="D28" s="6" t="s">
        <v>69</v>
      </c>
      <c r="E28" s="6" t="s">
        <v>70</v>
      </c>
    </row>
    <row r="29" customFormat="false" ht="39" hidden="false" customHeight="true" outlineLevel="0" collapsed="false">
      <c r="A29" s="9" t="s">
        <v>71</v>
      </c>
      <c r="B29" s="6" t="s">
        <v>72</v>
      </c>
      <c r="C29" s="6" t="s">
        <v>73</v>
      </c>
      <c r="D29" s="6" t="s">
        <v>74</v>
      </c>
      <c r="E29" s="6" t="s">
        <v>75</v>
      </c>
    </row>
    <row r="30" customFormat="false" ht="39" hidden="false" customHeight="true" outlineLevel="0" collapsed="false">
      <c r="A30" s="9" t="s">
        <v>76</v>
      </c>
      <c r="B30" s="6" t="s">
        <v>77</v>
      </c>
      <c r="C30" s="6" t="s">
        <v>78</v>
      </c>
      <c r="D30" s="6" t="s">
        <v>79</v>
      </c>
      <c r="E30" s="6" t="s">
        <v>80</v>
      </c>
    </row>
    <row r="31" customFormat="false" ht="26.25" hidden="false" customHeight="true" outlineLevel="0" collapsed="false">
      <c r="A31" s="9" t="s">
        <v>81</v>
      </c>
      <c r="B31" s="6" t="s">
        <v>15</v>
      </c>
      <c r="C31" s="6" t="s">
        <v>82</v>
      </c>
      <c r="D31" s="6" t="s">
        <v>83</v>
      </c>
      <c r="E31" s="6" t="s">
        <v>84</v>
      </c>
    </row>
    <row r="32" customFormat="false" ht="15" hidden="false" customHeight="true" outlineLevel="0" collapsed="false">
      <c r="A32" s="9" t="s">
        <v>85</v>
      </c>
      <c r="B32" s="6" t="s">
        <v>86</v>
      </c>
      <c r="C32" s="6" t="s">
        <v>87</v>
      </c>
      <c r="D32" s="6" t="s">
        <v>88</v>
      </c>
      <c r="E32" s="6" t="s">
        <v>89</v>
      </c>
    </row>
    <row r="34" customFormat="false" ht="15" hidden="false" customHeight="true" outlineLevel="0" collapsed="false">
      <c r="A34" s="4" t="s">
        <v>90</v>
      </c>
    </row>
    <row r="35" customFormat="false" ht="15" hidden="false" customHeight="true" outlineLevel="0" collapsed="false">
      <c r="A35" s="7" t="s">
        <v>91</v>
      </c>
      <c r="B35" s="7"/>
      <c r="C35" s="7"/>
      <c r="D35" s="7"/>
      <c r="E35" s="7"/>
    </row>
    <row r="36" customFormat="false" ht="15" hidden="false" customHeight="true" outlineLevel="0" collapsed="false">
      <c r="A36" s="7" t="s">
        <v>92</v>
      </c>
      <c r="B36" s="7"/>
      <c r="C36" s="7"/>
      <c r="D36" s="7"/>
      <c r="E36" s="7"/>
    </row>
    <row r="37" customFormat="false" ht="15" hidden="false" customHeight="true" outlineLevel="0" collapsed="false">
      <c r="A37" s="7" t="s">
        <v>93</v>
      </c>
      <c r="B37" s="7"/>
      <c r="C37" s="7"/>
      <c r="D37" s="7"/>
      <c r="E37" s="7"/>
    </row>
    <row r="38" customFormat="false" ht="15" hidden="false" customHeight="true" outlineLevel="0" collapsed="false">
      <c r="A38" s="7" t="s">
        <v>94</v>
      </c>
      <c r="B38" s="7"/>
      <c r="C38" s="7"/>
      <c r="D38" s="7"/>
      <c r="E38" s="7"/>
    </row>
    <row r="39" customFormat="false" ht="15" hidden="false" customHeight="true" outlineLevel="0" collapsed="false">
      <c r="A39" s="7" t="s">
        <v>95</v>
      </c>
      <c r="B39" s="7"/>
      <c r="C39" s="7"/>
      <c r="D39" s="7"/>
      <c r="E39" s="7"/>
    </row>
    <row r="40" customFormat="false" ht="26.25" hidden="false" customHeight="true" outlineLevel="0" collapsed="false">
      <c r="A40" s="7" t="s">
        <v>96</v>
      </c>
      <c r="B40" s="7"/>
      <c r="C40" s="7"/>
      <c r="D40" s="7"/>
      <c r="E40" s="7"/>
    </row>
    <row r="41" customFormat="false" ht="15" hidden="false" customHeight="true" outlineLevel="0" collapsed="false">
      <c r="A41" s="7" t="s">
        <v>97</v>
      </c>
      <c r="B41" s="7"/>
      <c r="C41" s="7"/>
      <c r="D41" s="7"/>
      <c r="E41" s="7"/>
    </row>
    <row r="42" customFormat="false" ht="15" hidden="false" customHeight="true" outlineLevel="0" collapsed="false">
      <c r="A42" s="7" t="s">
        <v>98</v>
      </c>
      <c r="B42" s="7"/>
      <c r="C42" s="7"/>
      <c r="D42" s="7"/>
      <c r="E42" s="7"/>
    </row>
    <row r="43" customFormat="false" ht="26.25" hidden="false" customHeight="true" outlineLevel="0" collapsed="false">
      <c r="A43" s="7" t="s">
        <v>99</v>
      </c>
      <c r="B43" s="7"/>
      <c r="C43" s="7"/>
      <c r="D43" s="7"/>
      <c r="E43" s="7"/>
    </row>
    <row r="44" customFormat="false" ht="15" hidden="false" customHeight="true" outlineLevel="0" collapsed="false">
      <c r="A44" s="7" t="s">
        <v>100</v>
      </c>
      <c r="B44" s="7"/>
      <c r="C44" s="7"/>
      <c r="D44" s="7"/>
      <c r="E44" s="7"/>
    </row>
    <row r="45" customFormat="false" ht="26.25" hidden="false" customHeight="true" outlineLevel="0" collapsed="false">
      <c r="A45" s="7" t="s">
        <v>101</v>
      </c>
      <c r="B45" s="7"/>
      <c r="C45" s="7"/>
      <c r="D45" s="7"/>
      <c r="E45" s="7"/>
    </row>
    <row r="46" customFormat="false" ht="26.25" hidden="false" customHeight="true" outlineLevel="0" collapsed="false">
      <c r="A46" s="7" t="s">
        <v>102</v>
      </c>
      <c r="B46" s="7"/>
      <c r="C46" s="7"/>
      <c r="D46" s="7"/>
      <c r="E46" s="7"/>
    </row>
    <row r="47" customFormat="false" ht="26.25" hidden="false" customHeight="true" outlineLevel="0" collapsed="false">
      <c r="A47" s="7" t="s">
        <v>103</v>
      </c>
      <c r="B47" s="7"/>
      <c r="C47" s="7"/>
      <c r="D47" s="7"/>
      <c r="E47" s="7"/>
    </row>
    <row r="48" customFormat="false" ht="26.25" hidden="false" customHeight="true" outlineLevel="0" collapsed="false">
      <c r="A48" s="7" t="s">
        <v>104</v>
      </c>
      <c r="B48" s="7"/>
      <c r="C48" s="7"/>
      <c r="D48" s="7"/>
      <c r="E48" s="7"/>
    </row>
  </sheetData>
  <mergeCells count="22">
    <mergeCell ref="A1:D1"/>
    <mergeCell ref="A2:D2"/>
    <mergeCell ref="A12:D12"/>
    <mergeCell ref="A13:D13"/>
    <mergeCell ref="A14:D14"/>
    <mergeCell ref="A15:D15"/>
    <mergeCell ref="A16:D16"/>
    <mergeCell ref="A17:D17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0"/>
    <col collapsed="false" customWidth="true" hidden="false" outlineLevel="0" max="15" min="4" style="1" width="14"/>
  </cols>
  <sheetData>
    <row r="1" customFormat="false" ht="17.25" hidden="false" customHeight="true" outlineLevel="0" collapsed="false">
      <c r="A1" s="2" t="s">
        <v>105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4" t="s">
        <v>106</v>
      </c>
    </row>
    <row r="4" customFormat="false" ht="15" hidden="false" customHeight="true" outlineLevel="0" collapsed="false">
      <c r="A4" s="10" t="s">
        <v>107</v>
      </c>
      <c r="B4" s="11" t="n">
        <v>2</v>
      </c>
      <c r="C4" s="12" t="s">
        <v>108</v>
      </c>
    </row>
    <row r="5" customFormat="false" ht="15" hidden="false" customHeight="true" outlineLevel="0" collapsed="false">
      <c r="A5" s="10" t="s">
        <v>109</v>
      </c>
      <c r="B5" s="11" t="n">
        <v>150</v>
      </c>
      <c r="C5" s="12" t="s">
        <v>110</v>
      </c>
    </row>
    <row r="7" customFormat="false" ht="15" hidden="false" customHeight="true" outlineLevel="0" collapsed="false">
      <c r="A7" s="4" t="s">
        <v>111</v>
      </c>
    </row>
    <row r="8" customFormat="false" ht="21.75" hidden="false" customHeight="true" outlineLevel="0" collapsed="false">
      <c r="A8" s="13" t="s">
        <v>112</v>
      </c>
      <c r="B8" s="13"/>
      <c r="C8" s="13"/>
      <c r="D8" s="13"/>
      <c r="E8" s="13"/>
      <c r="F8" s="13"/>
      <c r="G8" s="13"/>
      <c r="H8" s="13"/>
      <c r="I8" s="13"/>
      <c r="J8" s="13"/>
    </row>
    <row r="9" customFormat="false" ht="26.25" hidden="false" customHeight="true" outlineLevel="0" collapsed="false">
      <c r="A9" s="8" t="s">
        <v>113</v>
      </c>
      <c r="B9" s="8" t="s">
        <v>114</v>
      </c>
      <c r="C9" s="8" t="s">
        <v>3</v>
      </c>
      <c r="D9" s="8" t="s">
        <v>115</v>
      </c>
      <c r="E9" s="8" t="s">
        <v>116</v>
      </c>
      <c r="F9" s="8" t="s">
        <v>117</v>
      </c>
      <c r="G9" s="8" t="s">
        <v>118</v>
      </c>
      <c r="H9" s="8" t="s">
        <v>119</v>
      </c>
      <c r="I9" s="8" t="s">
        <v>120</v>
      </c>
      <c r="J9" s="8" t="s">
        <v>121</v>
      </c>
      <c r="K9" s="8" t="s">
        <v>122</v>
      </c>
      <c r="L9" s="8" t="s">
        <v>123</v>
      </c>
      <c r="M9" s="8" t="s">
        <v>124</v>
      </c>
    </row>
    <row r="10" customFormat="false" ht="51.75" hidden="false" customHeight="true" outlineLevel="0" collapsed="false">
      <c r="A10" s="14" t="n">
        <v>1</v>
      </c>
      <c r="B10" s="14" t="s">
        <v>125</v>
      </c>
      <c r="C10" s="14" t="s">
        <v>6</v>
      </c>
      <c r="D10" s="14" t="s">
        <v>126</v>
      </c>
      <c r="E10" s="6" t="s">
        <v>127</v>
      </c>
      <c r="F10" s="14" t="s">
        <v>128</v>
      </c>
      <c r="G10" s="15" t="n">
        <v>35867</v>
      </c>
      <c r="H10" s="16" t="n">
        <f aca="false">G10/$B$5</f>
        <v>239.113333333333</v>
      </c>
      <c r="I10" s="17" t="n">
        <v>1</v>
      </c>
      <c r="J10" s="18" t="n">
        <f aca="false">G10*I10</f>
        <v>35867</v>
      </c>
      <c r="K10" s="16" t="n">
        <f aca="false">J10/$B$5</f>
        <v>239.113333333333</v>
      </c>
      <c r="L10" s="16" t="n">
        <f aca="false">K10/$B$4</f>
        <v>119.556666666667</v>
      </c>
      <c r="M10" s="19" t="s">
        <v>129</v>
      </c>
    </row>
    <row r="11" customFormat="false" ht="77.25" hidden="false" customHeight="true" outlineLevel="0" collapsed="false">
      <c r="A11" s="14" t="n">
        <v>1</v>
      </c>
      <c r="B11" s="14" t="s">
        <v>125</v>
      </c>
      <c r="C11" s="14" t="s">
        <v>6</v>
      </c>
      <c r="D11" s="14" t="s">
        <v>130</v>
      </c>
      <c r="E11" s="6" t="s">
        <v>131</v>
      </c>
      <c r="F11" s="14" t="s">
        <v>128</v>
      </c>
      <c r="G11" s="15" t="n">
        <v>3200</v>
      </c>
      <c r="H11" s="16" t="n">
        <f aca="false">G11/$B$5</f>
        <v>21.3333333333333</v>
      </c>
      <c r="I11" s="14" t="n">
        <f aca="false">$B$4</f>
        <v>2</v>
      </c>
      <c r="J11" s="18" t="n">
        <f aca="false">G11*I11</f>
        <v>6400</v>
      </c>
      <c r="K11" s="16" t="n">
        <f aca="false">J11/$B$5</f>
        <v>42.6666666666667</v>
      </c>
      <c r="L11" s="16" t="n">
        <f aca="false">K11/$B$4</f>
        <v>21.3333333333333</v>
      </c>
      <c r="M11" s="19" t="s">
        <v>132</v>
      </c>
    </row>
    <row r="12" customFormat="false" ht="42.75" hidden="false" customHeight="true" outlineLevel="0" collapsed="false">
      <c r="A12" s="14" t="n">
        <v>1</v>
      </c>
      <c r="B12" s="14" t="s">
        <v>125</v>
      </c>
      <c r="C12" s="14" t="s">
        <v>6</v>
      </c>
      <c r="D12" s="14" t="s">
        <v>133</v>
      </c>
      <c r="E12" s="6" t="s">
        <v>134</v>
      </c>
      <c r="F12" s="14" t="s">
        <v>128</v>
      </c>
      <c r="G12" s="15" t="n">
        <v>4000</v>
      </c>
      <c r="H12" s="16" t="n">
        <f aca="false">G12/$B$5</f>
        <v>26.6666666666667</v>
      </c>
      <c r="I12" s="14" t="n">
        <f aca="false">$B$4</f>
        <v>2</v>
      </c>
      <c r="J12" s="18" t="n">
        <f aca="false">G12*I12</f>
        <v>8000</v>
      </c>
      <c r="K12" s="16" t="n">
        <f aca="false">J12/$B$5</f>
        <v>53.3333333333333</v>
      </c>
      <c r="L12" s="16" t="n">
        <f aca="false">K12/$B$4</f>
        <v>26.6666666666667</v>
      </c>
      <c r="M12" s="19" t="s">
        <v>135</v>
      </c>
    </row>
    <row r="13" customFormat="false" ht="51.75" hidden="false" customHeight="true" outlineLevel="0" collapsed="false">
      <c r="A13" s="14" t="n">
        <v>2</v>
      </c>
      <c r="B13" s="14" t="s">
        <v>136</v>
      </c>
      <c r="C13" s="14" t="s">
        <v>6</v>
      </c>
      <c r="D13" s="14" t="s">
        <v>126</v>
      </c>
      <c r="E13" s="6" t="s">
        <v>137</v>
      </c>
      <c r="F13" s="14" t="s">
        <v>128</v>
      </c>
      <c r="G13" s="15" t="n">
        <v>35867</v>
      </c>
      <c r="H13" s="16" t="n">
        <f aca="false">G13/$B$5</f>
        <v>239.113333333333</v>
      </c>
      <c r="I13" s="17" t="n">
        <v>1</v>
      </c>
      <c r="J13" s="18" t="n">
        <f aca="false">G13*I13</f>
        <v>35867</v>
      </c>
      <c r="K13" s="16" t="n">
        <f aca="false">J13/$B$5</f>
        <v>239.113333333333</v>
      </c>
      <c r="L13" s="16" t="n">
        <f aca="false">K13/$B$4</f>
        <v>119.556666666667</v>
      </c>
      <c r="M13" s="19" t="s">
        <v>129</v>
      </c>
    </row>
    <row r="14" customFormat="false" ht="53.25" hidden="false" customHeight="true" outlineLevel="0" collapsed="false">
      <c r="A14" s="14" t="n">
        <v>2</v>
      </c>
      <c r="B14" s="14" t="s">
        <v>136</v>
      </c>
      <c r="C14" s="14" t="s">
        <v>6</v>
      </c>
      <c r="D14" s="14" t="s">
        <v>138</v>
      </c>
      <c r="E14" s="6" t="s">
        <v>139</v>
      </c>
      <c r="F14" s="14" t="s">
        <v>128</v>
      </c>
      <c r="G14" s="15" t="n">
        <v>3750</v>
      </c>
      <c r="H14" s="16" t="n">
        <f aca="false">G14/$B$5</f>
        <v>25</v>
      </c>
      <c r="I14" s="14" t="n">
        <f aca="false">$B$4</f>
        <v>2</v>
      </c>
      <c r="J14" s="18" t="n">
        <f aca="false">G14*I14</f>
        <v>7500</v>
      </c>
      <c r="K14" s="16" t="n">
        <f aca="false">J14/$B$5</f>
        <v>50</v>
      </c>
      <c r="L14" s="16" t="n">
        <f aca="false">K14/$B$4</f>
        <v>25</v>
      </c>
      <c r="M14" s="19" t="s">
        <v>140</v>
      </c>
    </row>
    <row r="15" customFormat="false" ht="42.75" hidden="false" customHeight="true" outlineLevel="0" collapsed="false">
      <c r="A15" s="14" t="n">
        <v>2</v>
      </c>
      <c r="B15" s="14" t="s">
        <v>136</v>
      </c>
      <c r="C15" s="14" t="s">
        <v>6</v>
      </c>
      <c r="D15" s="14" t="s">
        <v>130</v>
      </c>
      <c r="E15" s="6" t="s">
        <v>141</v>
      </c>
      <c r="F15" s="14" t="s">
        <v>128</v>
      </c>
      <c r="G15" s="15" t="n">
        <v>800</v>
      </c>
      <c r="H15" s="16" t="n">
        <f aca="false">G15/$B$5</f>
        <v>5.33333333333333</v>
      </c>
      <c r="I15" s="14" t="n">
        <f aca="false">$B$4</f>
        <v>2</v>
      </c>
      <c r="J15" s="18" t="n">
        <f aca="false">G15*I15</f>
        <v>1600</v>
      </c>
      <c r="K15" s="16" t="n">
        <f aca="false">J15/$B$5</f>
        <v>10.6666666666667</v>
      </c>
      <c r="L15" s="16" t="n">
        <f aca="false">K15/$B$4</f>
        <v>5.33333333333333</v>
      </c>
      <c r="M15" s="19" t="s">
        <v>142</v>
      </c>
    </row>
    <row r="16" customFormat="false" ht="39" hidden="false" customHeight="true" outlineLevel="0" collapsed="false">
      <c r="A16" s="14" t="n">
        <v>2</v>
      </c>
      <c r="B16" s="14" t="s">
        <v>136</v>
      </c>
      <c r="C16" s="14" t="s">
        <v>6</v>
      </c>
      <c r="D16" s="14" t="s">
        <v>133</v>
      </c>
      <c r="E16" s="6" t="s">
        <v>143</v>
      </c>
      <c r="F16" s="14" t="s">
        <v>128</v>
      </c>
      <c r="G16" s="15" t="n">
        <v>1000</v>
      </c>
      <c r="H16" s="16" t="n">
        <f aca="false">G16/$B$5</f>
        <v>6.66666666666667</v>
      </c>
      <c r="I16" s="14" t="n">
        <f aca="false">$B$4</f>
        <v>2</v>
      </c>
      <c r="J16" s="18" t="n">
        <f aca="false">G16*I16</f>
        <v>2000</v>
      </c>
      <c r="K16" s="16" t="n">
        <f aca="false">J16/$B$5</f>
        <v>13.3333333333333</v>
      </c>
      <c r="L16" s="16" t="n">
        <f aca="false">K16/$B$4</f>
        <v>6.66666666666667</v>
      </c>
      <c r="M16" s="19" t="s">
        <v>144</v>
      </c>
    </row>
    <row r="17" customFormat="false" ht="51.75" hidden="false" customHeight="true" outlineLevel="0" collapsed="false">
      <c r="A17" s="14" t="n">
        <v>3</v>
      </c>
      <c r="B17" s="14" t="s">
        <v>145</v>
      </c>
      <c r="C17" s="14" t="s">
        <v>6</v>
      </c>
      <c r="D17" s="14" t="s">
        <v>126</v>
      </c>
      <c r="E17" s="6" t="s">
        <v>146</v>
      </c>
      <c r="F17" s="14" t="s">
        <v>128</v>
      </c>
      <c r="G17" s="15" t="n">
        <v>35867</v>
      </c>
      <c r="H17" s="16" t="n">
        <f aca="false">G17/$B$5</f>
        <v>239.113333333333</v>
      </c>
      <c r="I17" s="17" t="n">
        <v>1</v>
      </c>
      <c r="J17" s="18" t="n">
        <f aca="false">G17*I17</f>
        <v>35867</v>
      </c>
      <c r="K17" s="16" t="n">
        <f aca="false">J17/$B$5</f>
        <v>239.113333333333</v>
      </c>
      <c r="L17" s="16" t="n">
        <f aca="false">K17/$B$4</f>
        <v>119.556666666667</v>
      </c>
      <c r="M17" s="19" t="s">
        <v>129</v>
      </c>
    </row>
    <row r="18" customFormat="false" ht="84.75" hidden="false" customHeight="true" outlineLevel="0" collapsed="false">
      <c r="A18" s="14" t="n">
        <v>3</v>
      </c>
      <c r="B18" s="14" t="s">
        <v>145</v>
      </c>
      <c r="C18" s="14" t="s">
        <v>6</v>
      </c>
      <c r="D18" s="14" t="s">
        <v>138</v>
      </c>
      <c r="E18" s="6" t="s">
        <v>147</v>
      </c>
      <c r="F18" s="14" t="s">
        <v>128</v>
      </c>
      <c r="G18" s="15" t="n">
        <v>0</v>
      </c>
      <c r="H18" s="16" t="n">
        <f aca="false">G18/$B$5</f>
        <v>0</v>
      </c>
      <c r="I18" s="14" t="n">
        <f aca="false">$B$4</f>
        <v>2</v>
      </c>
      <c r="J18" s="18" t="n">
        <f aca="false">G18*I18</f>
        <v>0</v>
      </c>
      <c r="K18" s="16" t="n">
        <f aca="false">J18/$B$5</f>
        <v>0</v>
      </c>
      <c r="L18" s="16" t="n">
        <f aca="false">K18/$B$4</f>
        <v>0</v>
      </c>
      <c r="M18" s="19" t="s">
        <v>148</v>
      </c>
    </row>
    <row r="19" customFormat="false" ht="39" hidden="false" customHeight="true" outlineLevel="0" collapsed="false">
      <c r="A19" s="14" t="n">
        <v>3</v>
      </c>
      <c r="B19" s="14" t="s">
        <v>145</v>
      </c>
      <c r="C19" s="14" t="s">
        <v>6</v>
      </c>
      <c r="D19" s="14" t="s">
        <v>138</v>
      </c>
      <c r="E19" s="6" t="s">
        <v>149</v>
      </c>
      <c r="F19" s="14" t="s">
        <v>128</v>
      </c>
      <c r="G19" s="15" t="n">
        <v>4300</v>
      </c>
      <c r="H19" s="16" t="n">
        <f aca="false">G19/$B$5</f>
        <v>28.6666666666667</v>
      </c>
      <c r="I19" s="14" t="n">
        <f aca="false">$B$4</f>
        <v>2</v>
      </c>
      <c r="J19" s="18" t="n">
        <f aca="false">G19*I19</f>
        <v>8600</v>
      </c>
      <c r="K19" s="16" t="n">
        <f aca="false">J19/$B$5</f>
        <v>57.3333333333333</v>
      </c>
      <c r="L19" s="16" t="n">
        <f aca="false">K19/$B$4</f>
        <v>28.6666666666667</v>
      </c>
      <c r="M19" s="19" t="s">
        <v>150</v>
      </c>
    </row>
    <row r="20" customFormat="false" ht="74.25" hidden="false" customHeight="true" outlineLevel="0" collapsed="false">
      <c r="A20" s="14" t="n">
        <v>3</v>
      </c>
      <c r="B20" s="14" t="s">
        <v>145</v>
      </c>
      <c r="C20" s="14" t="s">
        <v>6</v>
      </c>
      <c r="D20" s="14" t="s">
        <v>133</v>
      </c>
      <c r="E20" s="6" t="s">
        <v>151</v>
      </c>
      <c r="F20" s="14" t="s">
        <v>128</v>
      </c>
      <c r="G20" s="15" t="n">
        <v>12100</v>
      </c>
      <c r="H20" s="16" t="n">
        <f aca="false">G20/$B$5</f>
        <v>80.6666666666667</v>
      </c>
      <c r="I20" s="14" t="n">
        <f aca="false">$B$4</f>
        <v>2</v>
      </c>
      <c r="J20" s="18" t="n">
        <f aca="false">G20*I20</f>
        <v>24200</v>
      </c>
      <c r="K20" s="16" t="n">
        <f aca="false">J20/$B$5</f>
        <v>161.333333333333</v>
      </c>
      <c r="L20" s="16" t="n">
        <f aca="false">K20/$B$4</f>
        <v>80.6666666666667</v>
      </c>
      <c r="M20" s="19" t="s">
        <v>152</v>
      </c>
    </row>
    <row r="21" customFormat="false" ht="39" hidden="false" customHeight="true" outlineLevel="0" collapsed="false">
      <c r="A21" s="14" t="n">
        <v>3</v>
      </c>
      <c r="B21" s="14" t="s">
        <v>145</v>
      </c>
      <c r="C21" s="14" t="s">
        <v>6</v>
      </c>
      <c r="D21" s="14" t="s">
        <v>130</v>
      </c>
      <c r="E21" s="6" t="s">
        <v>153</v>
      </c>
      <c r="F21" s="14" t="s">
        <v>128</v>
      </c>
      <c r="G21" s="15" t="n">
        <v>1200</v>
      </c>
      <c r="H21" s="16" t="n">
        <f aca="false">G21/$B$5</f>
        <v>8</v>
      </c>
      <c r="I21" s="14" t="n">
        <f aca="false">$B$4</f>
        <v>2</v>
      </c>
      <c r="J21" s="18" t="n">
        <f aca="false">G21*I21</f>
        <v>2400</v>
      </c>
      <c r="K21" s="16" t="n">
        <f aca="false">J21/$B$5</f>
        <v>16</v>
      </c>
      <c r="L21" s="16" t="n">
        <f aca="false">K21/$B$4</f>
        <v>8</v>
      </c>
      <c r="M21" s="19" t="s">
        <v>154</v>
      </c>
    </row>
    <row r="22" customFormat="false" ht="51.75" hidden="false" customHeight="true" outlineLevel="0" collapsed="false">
      <c r="A22" s="14" t="n">
        <v>4</v>
      </c>
      <c r="B22" s="14" t="s">
        <v>155</v>
      </c>
      <c r="C22" s="14" t="s">
        <v>6</v>
      </c>
      <c r="D22" s="14" t="s">
        <v>126</v>
      </c>
      <c r="E22" s="6" t="s">
        <v>156</v>
      </c>
      <c r="F22" s="14" t="s">
        <v>128</v>
      </c>
      <c r="G22" s="15" t="n">
        <v>35867</v>
      </c>
      <c r="H22" s="16" t="n">
        <f aca="false">G22/$B$5</f>
        <v>239.113333333333</v>
      </c>
      <c r="I22" s="17" t="n">
        <v>1</v>
      </c>
      <c r="J22" s="18" t="n">
        <f aca="false">G22*I22</f>
        <v>35867</v>
      </c>
      <c r="K22" s="16" t="n">
        <f aca="false">J22/$B$5</f>
        <v>239.113333333333</v>
      </c>
      <c r="L22" s="16" t="n">
        <f aca="false">K22/$B$4</f>
        <v>119.556666666667</v>
      </c>
      <c r="M22" s="19" t="s">
        <v>129</v>
      </c>
    </row>
    <row r="23" customFormat="false" ht="42.75" hidden="false" customHeight="true" outlineLevel="0" collapsed="false">
      <c r="A23" s="14" t="n">
        <v>4</v>
      </c>
      <c r="B23" s="14" t="s">
        <v>155</v>
      </c>
      <c r="C23" s="14" t="s">
        <v>6</v>
      </c>
      <c r="D23" s="14" t="s">
        <v>138</v>
      </c>
      <c r="E23" s="6" t="s">
        <v>157</v>
      </c>
      <c r="F23" s="14" t="s">
        <v>128</v>
      </c>
      <c r="G23" s="15" t="n">
        <v>9400</v>
      </c>
      <c r="H23" s="16" t="n">
        <f aca="false">G23/$B$5</f>
        <v>62.6666666666667</v>
      </c>
      <c r="I23" s="14" t="n">
        <f aca="false">$B$4</f>
        <v>2</v>
      </c>
      <c r="J23" s="18" t="n">
        <f aca="false">G23*I23</f>
        <v>18800</v>
      </c>
      <c r="K23" s="16" t="n">
        <f aca="false">J23/$B$5</f>
        <v>125.333333333333</v>
      </c>
      <c r="L23" s="16" t="n">
        <f aca="false">K23/$B$4</f>
        <v>62.6666666666667</v>
      </c>
      <c r="M23" s="19" t="s">
        <v>158</v>
      </c>
    </row>
    <row r="24" customFormat="false" ht="26.25" hidden="false" customHeight="true" outlineLevel="0" collapsed="false">
      <c r="A24" s="14" t="n">
        <v>4</v>
      </c>
      <c r="B24" s="14" t="s">
        <v>155</v>
      </c>
      <c r="C24" s="14" t="s">
        <v>6</v>
      </c>
      <c r="D24" s="14" t="s">
        <v>133</v>
      </c>
      <c r="E24" s="6" t="s">
        <v>159</v>
      </c>
      <c r="F24" s="14" t="s">
        <v>128</v>
      </c>
      <c r="G24" s="15" t="n">
        <v>4000</v>
      </c>
      <c r="H24" s="16" t="n">
        <f aca="false">G24/$B$5</f>
        <v>26.6666666666667</v>
      </c>
      <c r="I24" s="14" t="n">
        <f aca="false">$B$4</f>
        <v>2</v>
      </c>
      <c r="J24" s="18" t="n">
        <f aca="false">G24*I24</f>
        <v>8000</v>
      </c>
      <c r="K24" s="16" t="n">
        <f aca="false">J24/$B$5</f>
        <v>53.3333333333333</v>
      </c>
      <c r="L24" s="16" t="n">
        <f aca="false">K24/$B$4</f>
        <v>26.6666666666667</v>
      </c>
      <c r="M24" s="19" t="s">
        <v>160</v>
      </c>
    </row>
    <row r="25" customFormat="false" ht="51.75" hidden="false" customHeight="true" outlineLevel="0" collapsed="false">
      <c r="A25" s="14" t="n">
        <v>4</v>
      </c>
      <c r="B25" s="14" t="s">
        <v>155</v>
      </c>
      <c r="C25" s="14" t="s">
        <v>6</v>
      </c>
      <c r="D25" s="14" t="s">
        <v>130</v>
      </c>
      <c r="E25" s="6" t="s">
        <v>161</v>
      </c>
      <c r="F25" s="14" t="s">
        <v>128</v>
      </c>
      <c r="G25" s="15" t="n">
        <v>600</v>
      </c>
      <c r="H25" s="16" t="n">
        <f aca="false">G25/$B$5</f>
        <v>4</v>
      </c>
      <c r="I25" s="14" t="n">
        <f aca="false">$B$4</f>
        <v>2</v>
      </c>
      <c r="J25" s="18" t="n">
        <f aca="false">G25*I25</f>
        <v>1200</v>
      </c>
      <c r="K25" s="16" t="n">
        <f aca="false">J25/$B$5</f>
        <v>8</v>
      </c>
      <c r="L25" s="16" t="n">
        <f aca="false">K25/$B$4</f>
        <v>4</v>
      </c>
      <c r="M25" s="19" t="s">
        <v>162</v>
      </c>
    </row>
    <row r="26" customFormat="false" ht="42.75" hidden="false" customHeight="true" outlineLevel="0" collapsed="false">
      <c r="A26" s="14" t="n">
        <v>5</v>
      </c>
      <c r="B26" s="14" t="s">
        <v>163</v>
      </c>
      <c r="C26" s="14" t="s">
        <v>9</v>
      </c>
      <c r="D26" s="14" t="s">
        <v>126</v>
      </c>
      <c r="E26" s="6" t="s">
        <v>164</v>
      </c>
      <c r="F26" s="14" t="s">
        <v>128</v>
      </c>
      <c r="G26" s="15" t="n">
        <v>171898</v>
      </c>
      <c r="H26" s="16" t="n">
        <f aca="false">G26/$B$5</f>
        <v>1145.98666666667</v>
      </c>
      <c r="I26" s="17" t="n">
        <v>1</v>
      </c>
      <c r="J26" s="18" t="n">
        <f aca="false">G26*I26</f>
        <v>171898</v>
      </c>
      <c r="K26" s="16" t="n">
        <f aca="false">J26/$B$5</f>
        <v>1145.98666666667</v>
      </c>
      <c r="L26" s="16" t="n">
        <f aca="false">K26/$B$4</f>
        <v>572.993333333333</v>
      </c>
      <c r="M26" s="19" t="s">
        <v>165</v>
      </c>
    </row>
    <row r="27" customFormat="false" ht="64.5" hidden="false" customHeight="true" outlineLevel="0" collapsed="false">
      <c r="A27" s="14" t="n">
        <v>5</v>
      </c>
      <c r="B27" s="14" t="s">
        <v>163</v>
      </c>
      <c r="C27" s="14" t="s">
        <v>9</v>
      </c>
      <c r="D27" s="14" t="s">
        <v>130</v>
      </c>
      <c r="E27" s="6" t="s">
        <v>166</v>
      </c>
      <c r="F27" s="14" t="s">
        <v>128</v>
      </c>
      <c r="G27" s="15" t="n">
        <v>2300</v>
      </c>
      <c r="H27" s="16" t="n">
        <f aca="false">G27/$B$5</f>
        <v>15.3333333333333</v>
      </c>
      <c r="I27" s="17" t="n">
        <v>1</v>
      </c>
      <c r="J27" s="18" t="n">
        <f aca="false">G27*I27</f>
        <v>2300</v>
      </c>
      <c r="K27" s="16" t="n">
        <f aca="false">J27/$B$5</f>
        <v>15.3333333333333</v>
      </c>
      <c r="L27" s="16" t="n">
        <f aca="false">K27/$B$4</f>
        <v>7.66666666666667</v>
      </c>
      <c r="M27" s="19" t="s">
        <v>167</v>
      </c>
    </row>
    <row r="28" customFormat="false" ht="42.75" hidden="false" customHeight="true" outlineLevel="0" collapsed="false">
      <c r="A28" s="14" t="n">
        <v>5</v>
      </c>
      <c r="B28" s="14" t="s">
        <v>163</v>
      </c>
      <c r="C28" s="14" t="s">
        <v>9</v>
      </c>
      <c r="D28" s="14" t="s">
        <v>130</v>
      </c>
      <c r="E28" s="6" t="s">
        <v>168</v>
      </c>
      <c r="F28" s="14" t="s">
        <v>128</v>
      </c>
      <c r="G28" s="15" t="n">
        <v>6100</v>
      </c>
      <c r="H28" s="16" t="n">
        <f aca="false">G28/$B$5</f>
        <v>40.6666666666667</v>
      </c>
      <c r="I28" s="14" t="n">
        <f aca="false">$B$4</f>
        <v>2</v>
      </c>
      <c r="J28" s="18" t="n">
        <f aca="false">G28*I28</f>
        <v>12200</v>
      </c>
      <c r="K28" s="16" t="n">
        <f aca="false">J28/$B$5</f>
        <v>81.3333333333333</v>
      </c>
      <c r="L28" s="16" t="n">
        <f aca="false">K28/$B$4</f>
        <v>40.6666666666667</v>
      </c>
      <c r="M28" s="19" t="s">
        <v>169</v>
      </c>
    </row>
    <row r="29" customFormat="false" ht="42.75" hidden="false" customHeight="true" outlineLevel="0" collapsed="false">
      <c r="A29" s="14" t="n">
        <v>5</v>
      </c>
      <c r="B29" s="14" t="s">
        <v>163</v>
      </c>
      <c r="C29" s="14" t="s">
        <v>9</v>
      </c>
      <c r="D29" s="14" t="s">
        <v>133</v>
      </c>
      <c r="E29" s="6" t="s">
        <v>170</v>
      </c>
      <c r="F29" s="14" t="s">
        <v>128</v>
      </c>
      <c r="G29" s="15" t="n">
        <v>2500</v>
      </c>
      <c r="H29" s="16" t="n">
        <f aca="false">G29/$B$5</f>
        <v>16.6666666666667</v>
      </c>
      <c r="I29" s="14" t="n">
        <f aca="false">$B$4</f>
        <v>2</v>
      </c>
      <c r="J29" s="18" t="n">
        <f aca="false">G29*I29</f>
        <v>5000</v>
      </c>
      <c r="K29" s="16" t="n">
        <f aca="false">J29/$B$5</f>
        <v>33.3333333333333</v>
      </c>
      <c r="L29" s="16" t="n">
        <f aca="false">K29/$B$4</f>
        <v>16.6666666666667</v>
      </c>
      <c r="M29" s="19" t="s">
        <v>171</v>
      </c>
    </row>
    <row r="30" customFormat="false" ht="95.25" hidden="false" customHeight="true" outlineLevel="0" collapsed="false">
      <c r="A30" s="14" t="n">
        <v>6</v>
      </c>
      <c r="B30" s="14" t="s">
        <v>172</v>
      </c>
      <c r="C30" s="14" t="s">
        <v>12</v>
      </c>
      <c r="D30" s="14" t="s">
        <v>126</v>
      </c>
      <c r="E30" s="6" t="s">
        <v>173</v>
      </c>
      <c r="F30" s="14" t="s">
        <v>128</v>
      </c>
      <c r="G30" s="15" t="n">
        <v>27000</v>
      </c>
      <c r="H30" s="16" t="n">
        <f aca="false">G30/$B$5</f>
        <v>180</v>
      </c>
      <c r="I30" s="17" t="n">
        <v>1</v>
      </c>
      <c r="J30" s="18" t="n">
        <f aca="false">G30*I30</f>
        <v>27000</v>
      </c>
      <c r="K30" s="16" t="n">
        <f aca="false">J30/$B$5</f>
        <v>180</v>
      </c>
      <c r="L30" s="16" t="n">
        <f aca="false">K30/$B$4</f>
        <v>90</v>
      </c>
      <c r="M30" s="19" t="s">
        <v>174</v>
      </c>
    </row>
    <row r="31" customFormat="false" ht="53.25" hidden="false" customHeight="true" outlineLevel="0" collapsed="false">
      <c r="A31" s="14" t="n">
        <v>6</v>
      </c>
      <c r="B31" s="14" t="s">
        <v>172</v>
      </c>
      <c r="C31" s="14" t="s">
        <v>12</v>
      </c>
      <c r="D31" s="14" t="s">
        <v>130</v>
      </c>
      <c r="E31" s="6" t="s">
        <v>175</v>
      </c>
      <c r="F31" s="14" t="s">
        <v>128</v>
      </c>
      <c r="G31" s="15" t="n">
        <v>15150</v>
      </c>
      <c r="H31" s="16" t="n">
        <f aca="false">G31/$B$5</f>
        <v>101</v>
      </c>
      <c r="I31" s="14" t="n">
        <f aca="false">$B$4</f>
        <v>2</v>
      </c>
      <c r="J31" s="18" t="n">
        <f aca="false">G31*I31</f>
        <v>30300</v>
      </c>
      <c r="K31" s="16" t="n">
        <f aca="false">J31/$B$5</f>
        <v>202</v>
      </c>
      <c r="L31" s="16" t="n">
        <f aca="false">K31/$B$4</f>
        <v>101</v>
      </c>
      <c r="M31" s="19" t="s">
        <v>176</v>
      </c>
    </row>
    <row r="32" customFormat="false" ht="51.75" hidden="false" customHeight="true" outlineLevel="0" collapsed="false">
      <c r="A32" s="14" t="n">
        <v>6</v>
      </c>
      <c r="B32" s="14" t="s">
        <v>172</v>
      </c>
      <c r="C32" s="14" t="s">
        <v>12</v>
      </c>
      <c r="D32" s="14" t="s">
        <v>133</v>
      </c>
      <c r="E32" s="6" t="s">
        <v>177</v>
      </c>
      <c r="F32" s="14" t="s">
        <v>128</v>
      </c>
      <c r="G32" s="15" t="n">
        <v>5000</v>
      </c>
      <c r="H32" s="16" t="n">
        <f aca="false">G32/$B$5</f>
        <v>33.3333333333333</v>
      </c>
      <c r="I32" s="14" t="n">
        <f aca="false">$B$4</f>
        <v>2</v>
      </c>
      <c r="J32" s="18" t="n">
        <f aca="false">G32*I32</f>
        <v>10000</v>
      </c>
      <c r="K32" s="16" t="n">
        <f aca="false">J32/$B$5</f>
        <v>66.6666666666667</v>
      </c>
      <c r="L32" s="16" t="n">
        <f aca="false">K32/$B$4</f>
        <v>33.3333333333333</v>
      </c>
      <c r="M32" s="19" t="s">
        <v>178</v>
      </c>
    </row>
    <row r="33" customFormat="false" ht="51.75" hidden="false" customHeight="true" outlineLevel="0" collapsed="false">
      <c r="A33" s="14" t="n">
        <v>7</v>
      </c>
      <c r="B33" s="14" t="s">
        <v>179</v>
      </c>
      <c r="C33" s="14" t="s">
        <v>12</v>
      </c>
      <c r="D33" s="14" t="s">
        <v>126</v>
      </c>
      <c r="E33" s="6" t="s">
        <v>180</v>
      </c>
      <c r="F33" s="14" t="s">
        <v>128</v>
      </c>
      <c r="G33" s="15" t="n">
        <v>27000</v>
      </c>
      <c r="H33" s="16" t="n">
        <f aca="false">G33/$B$5</f>
        <v>180</v>
      </c>
      <c r="I33" s="17" t="n">
        <v>1</v>
      </c>
      <c r="J33" s="18" t="n">
        <f aca="false">G33*I33</f>
        <v>27000</v>
      </c>
      <c r="K33" s="16" t="n">
        <f aca="false">J33/$B$5</f>
        <v>180</v>
      </c>
      <c r="L33" s="16" t="n">
        <f aca="false">K33/$B$4</f>
        <v>90</v>
      </c>
      <c r="M33" s="19" t="s">
        <v>174</v>
      </c>
    </row>
    <row r="34" customFormat="false" ht="26.25" hidden="false" customHeight="true" outlineLevel="0" collapsed="false">
      <c r="A34" s="14" t="n">
        <v>7</v>
      </c>
      <c r="B34" s="14" t="s">
        <v>179</v>
      </c>
      <c r="C34" s="14" t="s">
        <v>12</v>
      </c>
      <c r="D34" s="14" t="s">
        <v>138</v>
      </c>
      <c r="E34" s="6" t="s">
        <v>181</v>
      </c>
      <c r="F34" s="14" t="s">
        <v>128</v>
      </c>
      <c r="G34" s="15" t="n">
        <v>400</v>
      </c>
      <c r="H34" s="16" t="n">
        <f aca="false">G34/$B$5</f>
        <v>2.66666666666667</v>
      </c>
      <c r="I34" s="14" t="n">
        <f aca="false">$B$4</f>
        <v>2</v>
      </c>
      <c r="J34" s="18" t="n">
        <f aca="false">G34*I34</f>
        <v>800</v>
      </c>
      <c r="K34" s="16" t="n">
        <f aca="false">J34/$B$5</f>
        <v>5.33333333333333</v>
      </c>
      <c r="L34" s="16" t="n">
        <f aca="false">K34/$B$4</f>
        <v>2.66666666666667</v>
      </c>
      <c r="M34" s="19" t="s">
        <v>182</v>
      </c>
    </row>
    <row r="35" customFormat="false" ht="63.75" hidden="false" customHeight="true" outlineLevel="0" collapsed="false">
      <c r="A35" s="14" t="n">
        <v>7</v>
      </c>
      <c r="B35" s="14" t="s">
        <v>179</v>
      </c>
      <c r="C35" s="14" t="s">
        <v>12</v>
      </c>
      <c r="D35" s="14" t="s">
        <v>138</v>
      </c>
      <c r="E35" s="6" t="s">
        <v>183</v>
      </c>
      <c r="F35" s="14" t="s">
        <v>184</v>
      </c>
      <c r="G35" s="15" t="n">
        <v>27500</v>
      </c>
      <c r="H35" s="16" t="n">
        <f aca="false">G35/$B$5</f>
        <v>183.333333333333</v>
      </c>
      <c r="I35" s="17" t="n">
        <v>1</v>
      </c>
      <c r="J35" s="18" t="n">
        <f aca="false">G35*I35</f>
        <v>27500</v>
      </c>
      <c r="K35" s="16" t="n">
        <f aca="false">J35/$B$5</f>
        <v>183.333333333333</v>
      </c>
      <c r="L35" s="16" t="n">
        <f aca="false">K35/$B$4</f>
        <v>91.6666666666667</v>
      </c>
      <c r="M35" s="19" t="s">
        <v>185</v>
      </c>
    </row>
    <row r="36" customFormat="false" ht="39" hidden="false" customHeight="true" outlineLevel="0" collapsed="false">
      <c r="A36" s="14" t="n">
        <v>7</v>
      </c>
      <c r="B36" s="14" t="s">
        <v>179</v>
      </c>
      <c r="C36" s="14" t="s">
        <v>12</v>
      </c>
      <c r="D36" s="14" t="s">
        <v>130</v>
      </c>
      <c r="E36" s="6" t="s">
        <v>186</v>
      </c>
      <c r="F36" s="14" t="s">
        <v>128</v>
      </c>
      <c r="G36" s="15" t="n">
        <v>1100</v>
      </c>
      <c r="H36" s="16" t="n">
        <f aca="false">G36/$B$5</f>
        <v>7.33333333333333</v>
      </c>
      <c r="I36" s="14" t="n">
        <f aca="false">$B$4</f>
        <v>2</v>
      </c>
      <c r="J36" s="18" t="n">
        <f aca="false">G36*I36</f>
        <v>2200</v>
      </c>
      <c r="K36" s="16" t="n">
        <f aca="false">J36/$B$5</f>
        <v>14.6666666666667</v>
      </c>
      <c r="L36" s="16" t="n">
        <f aca="false">K36/$B$4</f>
        <v>7.33333333333333</v>
      </c>
      <c r="M36" s="19" t="s">
        <v>187</v>
      </c>
    </row>
    <row r="37" customFormat="false" ht="21.75" hidden="false" customHeight="true" outlineLevel="0" collapsed="false">
      <c r="A37" s="14" t="n">
        <v>7</v>
      </c>
      <c r="B37" s="14" t="s">
        <v>179</v>
      </c>
      <c r="C37" s="14" t="s">
        <v>12</v>
      </c>
      <c r="D37" s="14" t="s">
        <v>133</v>
      </c>
      <c r="E37" s="6" t="s">
        <v>188</v>
      </c>
      <c r="F37" s="14" t="s">
        <v>128</v>
      </c>
      <c r="G37" s="15" t="n">
        <v>5000</v>
      </c>
      <c r="H37" s="16" t="n">
        <f aca="false">G37/$B$5</f>
        <v>33.3333333333333</v>
      </c>
      <c r="I37" s="14" t="n">
        <f aca="false">$B$4</f>
        <v>2</v>
      </c>
      <c r="J37" s="18" t="n">
        <f aca="false">G37*I37</f>
        <v>10000</v>
      </c>
      <c r="K37" s="16" t="n">
        <f aca="false">J37/$B$5</f>
        <v>66.6666666666667</v>
      </c>
      <c r="L37" s="16" t="n">
        <f aca="false">K37/$B$4</f>
        <v>33.3333333333333</v>
      </c>
      <c r="M37" s="19" t="s">
        <v>189</v>
      </c>
    </row>
    <row r="38" customFormat="false" ht="51.75" hidden="false" customHeight="true" outlineLevel="0" collapsed="false">
      <c r="A38" s="14" t="n">
        <v>8</v>
      </c>
      <c r="B38" s="14" t="s">
        <v>190</v>
      </c>
      <c r="C38" s="14" t="s">
        <v>12</v>
      </c>
      <c r="D38" s="14" t="s">
        <v>126</v>
      </c>
      <c r="E38" s="6" t="s">
        <v>191</v>
      </c>
      <c r="F38" s="14" t="s">
        <v>128</v>
      </c>
      <c r="G38" s="15" t="n">
        <v>27000</v>
      </c>
      <c r="H38" s="16" t="n">
        <f aca="false">G38/$B$5</f>
        <v>180</v>
      </c>
      <c r="I38" s="17" t="n">
        <v>1</v>
      </c>
      <c r="J38" s="18" t="n">
        <f aca="false">G38*I38</f>
        <v>27000</v>
      </c>
      <c r="K38" s="16" t="n">
        <f aca="false">J38/$B$5</f>
        <v>180</v>
      </c>
      <c r="L38" s="16" t="n">
        <f aca="false">K38/$B$4</f>
        <v>90</v>
      </c>
      <c r="M38" s="19" t="s">
        <v>174</v>
      </c>
    </row>
    <row r="39" customFormat="false" ht="63.75" hidden="false" customHeight="true" outlineLevel="0" collapsed="false">
      <c r="A39" s="14" t="n">
        <v>6</v>
      </c>
      <c r="B39" s="14" t="s">
        <v>172</v>
      </c>
      <c r="C39" s="14" t="s">
        <v>12</v>
      </c>
      <c r="D39" s="14" t="s">
        <v>138</v>
      </c>
      <c r="E39" s="6" t="s">
        <v>192</v>
      </c>
      <c r="F39" s="14" t="s">
        <v>128</v>
      </c>
      <c r="G39" s="15" t="n">
        <v>3300</v>
      </c>
      <c r="H39" s="16" t="n">
        <f aca="false">G39/$B$5</f>
        <v>22</v>
      </c>
      <c r="I39" s="14" t="n">
        <f aca="false">$B$4</f>
        <v>2</v>
      </c>
      <c r="J39" s="18" t="n">
        <f aca="false">G39*I39</f>
        <v>6600</v>
      </c>
      <c r="K39" s="16" t="n">
        <f aca="false">J39/$B$5</f>
        <v>44</v>
      </c>
      <c r="L39" s="16" t="n">
        <f aca="false">K39/$B$4</f>
        <v>22</v>
      </c>
      <c r="M39" s="19" t="s">
        <v>193</v>
      </c>
    </row>
    <row r="40" customFormat="false" ht="51.75" hidden="false" customHeight="true" outlineLevel="0" collapsed="false">
      <c r="A40" s="14" t="n">
        <v>8</v>
      </c>
      <c r="B40" s="14" t="s">
        <v>190</v>
      </c>
      <c r="C40" s="14" t="s">
        <v>12</v>
      </c>
      <c r="D40" s="14" t="s">
        <v>138</v>
      </c>
      <c r="E40" s="6" t="s">
        <v>194</v>
      </c>
      <c r="F40" s="14" t="s">
        <v>128</v>
      </c>
      <c r="G40" s="15" t="n">
        <v>4000</v>
      </c>
      <c r="H40" s="16" t="n">
        <f aca="false">G40/$B$5</f>
        <v>26.6666666666667</v>
      </c>
      <c r="I40" s="14" t="n">
        <f aca="false">$B$4</f>
        <v>2</v>
      </c>
      <c r="J40" s="18" t="n">
        <f aca="false">G40*I40</f>
        <v>8000</v>
      </c>
      <c r="K40" s="16" t="n">
        <f aca="false">J40/$B$5</f>
        <v>53.3333333333333</v>
      </c>
      <c r="L40" s="16" t="n">
        <f aca="false">K40/$B$4</f>
        <v>26.6666666666667</v>
      </c>
      <c r="M40" s="19" t="s">
        <v>195</v>
      </c>
    </row>
    <row r="41" customFormat="false" ht="42.75" hidden="false" customHeight="true" outlineLevel="0" collapsed="false">
      <c r="A41" s="14" t="n">
        <v>8</v>
      </c>
      <c r="B41" s="14" t="s">
        <v>190</v>
      </c>
      <c r="C41" s="14" t="s">
        <v>12</v>
      </c>
      <c r="D41" s="14" t="s">
        <v>138</v>
      </c>
      <c r="E41" s="6" t="s">
        <v>196</v>
      </c>
      <c r="F41" s="14" t="s">
        <v>184</v>
      </c>
      <c r="G41" s="15" t="n">
        <v>14250</v>
      </c>
      <c r="H41" s="16" t="n">
        <f aca="false">G41/$B$5</f>
        <v>95</v>
      </c>
      <c r="I41" s="14" t="n">
        <f aca="false">$B$4</f>
        <v>2</v>
      </c>
      <c r="J41" s="18" t="n">
        <f aca="false">G41*I41</f>
        <v>28500</v>
      </c>
      <c r="K41" s="16" t="n">
        <f aca="false">J41/$B$5</f>
        <v>190</v>
      </c>
      <c r="L41" s="16" t="n">
        <f aca="false">K41/$B$4</f>
        <v>95</v>
      </c>
      <c r="M41" s="19" t="s">
        <v>197</v>
      </c>
    </row>
    <row r="42" customFormat="false" ht="42.75" hidden="false" customHeight="true" outlineLevel="0" collapsed="false">
      <c r="A42" s="14" t="n">
        <v>6</v>
      </c>
      <c r="B42" s="14" t="s">
        <v>172</v>
      </c>
      <c r="C42" s="14" t="s">
        <v>12</v>
      </c>
      <c r="D42" s="14" t="s">
        <v>130</v>
      </c>
      <c r="E42" s="6" t="s">
        <v>198</v>
      </c>
      <c r="F42" s="14" t="s">
        <v>128</v>
      </c>
      <c r="G42" s="15" t="n">
        <v>720</v>
      </c>
      <c r="H42" s="16" t="n">
        <f aca="false">G42/$B$5</f>
        <v>4.8</v>
      </c>
      <c r="I42" s="14" t="n">
        <f aca="false">$B$4</f>
        <v>2</v>
      </c>
      <c r="J42" s="18" t="n">
        <f aca="false">G42*I42</f>
        <v>1440</v>
      </c>
      <c r="K42" s="16" t="n">
        <f aca="false">J42/$B$5</f>
        <v>9.6</v>
      </c>
      <c r="L42" s="16" t="n">
        <f aca="false">K42/$B$4</f>
        <v>4.8</v>
      </c>
      <c r="M42" s="19" t="s">
        <v>199</v>
      </c>
    </row>
    <row r="43" customFormat="false" ht="39" hidden="false" customHeight="true" outlineLevel="0" collapsed="false">
      <c r="A43" s="14" t="n">
        <v>8</v>
      </c>
      <c r="B43" s="14" t="s">
        <v>190</v>
      </c>
      <c r="C43" s="14" t="s">
        <v>12</v>
      </c>
      <c r="D43" s="14" t="s">
        <v>130</v>
      </c>
      <c r="E43" s="6" t="s">
        <v>186</v>
      </c>
      <c r="F43" s="14" t="s">
        <v>128</v>
      </c>
      <c r="G43" s="15" t="n">
        <v>1100</v>
      </c>
      <c r="H43" s="16" t="n">
        <f aca="false">G43/$B$5</f>
        <v>7.33333333333333</v>
      </c>
      <c r="I43" s="14" t="n">
        <f aca="false">$B$4</f>
        <v>2</v>
      </c>
      <c r="J43" s="18" t="n">
        <f aca="false">G43*I43</f>
        <v>2200</v>
      </c>
      <c r="K43" s="16" t="n">
        <f aca="false">J43/$B$5</f>
        <v>14.6666666666667</v>
      </c>
      <c r="L43" s="16" t="n">
        <f aca="false">K43/$B$4</f>
        <v>7.33333333333333</v>
      </c>
      <c r="M43" s="19" t="s">
        <v>187</v>
      </c>
    </row>
    <row r="44" customFormat="false" ht="42.75" hidden="false" customHeight="true" outlineLevel="0" collapsed="false">
      <c r="A44" s="14" t="n">
        <v>8</v>
      </c>
      <c r="B44" s="14" t="s">
        <v>190</v>
      </c>
      <c r="C44" s="14" t="s">
        <v>12</v>
      </c>
      <c r="D44" s="14" t="s">
        <v>133</v>
      </c>
      <c r="E44" s="6" t="s">
        <v>200</v>
      </c>
      <c r="F44" s="14" t="s">
        <v>128</v>
      </c>
      <c r="G44" s="15" t="n">
        <v>3000</v>
      </c>
      <c r="H44" s="16" t="n">
        <f aca="false">G44/$B$5</f>
        <v>20</v>
      </c>
      <c r="I44" s="14" t="n">
        <f aca="false">$B$4</f>
        <v>2</v>
      </c>
      <c r="J44" s="18" t="n">
        <f aca="false">G44*I44</f>
        <v>6000</v>
      </c>
      <c r="K44" s="16" t="n">
        <f aca="false">J44/$B$5</f>
        <v>40</v>
      </c>
      <c r="L44" s="16" t="n">
        <f aca="false">K44/$B$4</f>
        <v>20</v>
      </c>
      <c r="M44" s="19" t="s">
        <v>201</v>
      </c>
    </row>
    <row r="45" customFormat="false" ht="84.75" hidden="false" customHeight="true" outlineLevel="0" collapsed="false">
      <c r="A45" s="14" t="n">
        <v>9</v>
      </c>
      <c r="B45" s="14" t="s">
        <v>202</v>
      </c>
      <c r="C45" s="14" t="s">
        <v>15</v>
      </c>
      <c r="D45" s="14" t="s">
        <v>126</v>
      </c>
      <c r="E45" s="6" t="s">
        <v>203</v>
      </c>
      <c r="F45" s="14" t="s">
        <v>128</v>
      </c>
      <c r="G45" s="15" t="n">
        <v>32702</v>
      </c>
      <c r="H45" s="16" t="n">
        <f aca="false">G45/$B$5</f>
        <v>218.013333333333</v>
      </c>
      <c r="I45" s="17" t="n">
        <v>1</v>
      </c>
      <c r="J45" s="18" t="n">
        <f aca="false">G45*I45</f>
        <v>32702</v>
      </c>
      <c r="K45" s="16" t="n">
        <f aca="false">J45/$B$5</f>
        <v>218.013333333333</v>
      </c>
      <c r="L45" s="16" t="n">
        <f aca="false">K45/$B$4</f>
        <v>109.006666666667</v>
      </c>
      <c r="M45" s="19" t="s">
        <v>204</v>
      </c>
    </row>
    <row r="46" customFormat="false" ht="39" hidden="false" customHeight="true" outlineLevel="0" collapsed="false">
      <c r="A46" s="14" t="n">
        <v>9</v>
      </c>
      <c r="B46" s="14" t="s">
        <v>202</v>
      </c>
      <c r="C46" s="14" t="s">
        <v>15</v>
      </c>
      <c r="D46" s="14" t="s">
        <v>130</v>
      </c>
      <c r="E46" s="6" t="s">
        <v>205</v>
      </c>
      <c r="F46" s="14" t="s">
        <v>128</v>
      </c>
      <c r="G46" s="15" t="n">
        <v>580</v>
      </c>
      <c r="H46" s="16" t="n">
        <f aca="false">G46/$B$5</f>
        <v>3.86666666666667</v>
      </c>
      <c r="I46" s="14" t="n">
        <f aca="false">$B$4</f>
        <v>2</v>
      </c>
      <c r="J46" s="18" t="n">
        <f aca="false">G46*I46</f>
        <v>1160</v>
      </c>
      <c r="K46" s="16" t="n">
        <f aca="false">J46/$B$5</f>
        <v>7.73333333333333</v>
      </c>
      <c r="L46" s="16" t="n">
        <f aca="false">K46/$B$4</f>
        <v>3.86666666666667</v>
      </c>
      <c r="M46" s="19" t="s">
        <v>206</v>
      </c>
    </row>
    <row r="47" customFormat="false" ht="42.75" hidden="false" customHeight="true" outlineLevel="0" collapsed="false">
      <c r="A47" s="14" t="n">
        <v>9</v>
      </c>
      <c r="B47" s="14" t="s">
        <v>202</v>
      </c>
      <c r="C47" s="14" t="s">
        <v>15</v>
      </c>
      <c r="D47" s="14" t="s">
        <v>138</v>
      </c>
      <c r="E47" s="6" t="s">
        <v>207</v>
      </c>
      <c r="F47" s="14" t="s">
        <v>184</v>
      </c>
      <c r="G47" s="15" t="n">
        <v>17250</v>
      </c>
      <c r="H47" s="16" t="n">
        <f aca="false">G47/$B$5</f>
        <v>115</v>
      </c>
      <c r="I47" s="14" t="n">
        <f aca="false">$B$4</f>
        <v>2</v>
      </c>
      <c r="J47" s="18" t="n">
        <f aca="false">G47*I47</f>
        <v>34500</v>
      </c>
      <c r="K47" s="16" t="n">
        <f aca="false">J47/$B$5</f>
        <v>230</v>
      </c>
      <c r="L47" s="16" t="n">
        <f aca="false">K47/$B$4</f>
        <v>115</v>
      </c>
      <c r="M47" s="19" t="s">
        <v>208</v>
      </c>
    </row>
    <row r="48" customFormat="false" ht="42.75" hidden="false" customHeight="true" outlineLevel="0" collapsed="false">
      <c r="A48" s="14" t="n">
        <v>9</v>
      </c>
      <c r="B48" s="14" t="s">
        <v>202</v>
      </c>
      <c r="C48" s="14" t="s">
        <v>15</v>
      </c>
      <c r="D48" s="14" t="s">
        <v>133</v>
      </c>
      <c r="E48" s="6" t="s">
        <v>200</v>
      </c>
      <c r="F48" s="14" t="s">
        <v>128</v>
      </c>
      <c r="G48" s="15" t="n">
        <v>3000</v>
      </c>
      <c r="H48" s="16" t="n">
        <f aca="false">G48/$B$5</f>
        <v>20</v>
      </c>
      <c r="I48" s="14" t="n">
        <f aca="false">$B$4</f>
        <v>2</v>
      </c>
      <c r="J48" s="18" t="n">
        <f aca="false">G48*I48</f>
        <v>6000</v>
      </c>
      <c r="K48" s="16" t="n">
        <f aca="false">J48/$B$5</f>
        <v>40</v>
      </c>
      <c r="L48" s="16" t="n">
        <f aca="false">K48/$B$4</f>
        <v>20</v>
      </c>
      <c r="M48" s="19" t="s">
        <v>209</v>
      </c>
    </row>
    <row r="49" customFormat="false" ht="51.75" hidden="false" customHeight="true" outlineLevel="0" collapsed="false">
      <c r="A49" s="14" t="n">
        <v>10</v>
      </c>
      <c r="B49" s="14" t="s">
        <v>210</v>
      </c>
      <c r="C49" s="14" t="s">
        <v>15</v>
      </c>
      <c r="D49" s="14" t="s">
        <v>126</v>
      </c>
      <c r="E49" s="6" t="s">
        <v>211</v>
      </c>
      <c r="F49" s="14" t="s">
        <v>128</v>
      </c>
      <c r="G49" s="15" t="n">
        <v>32702</v>
      </c>
      <c r="H49" s="16" t="n">
        <f aca="false">G49/$B$5</f>
        <v>218.013333333333</v>
      </c>
      <c r="I49" s="17" t="n">
        <v>1</v>
      </c>
      <c r="J49" s="18" t="n">
        <f aca="false">G49*I49</f>
        <v>32702</v>
      </c>
      <c r="K49" s="16" t="n">
        <f aca="false">J49/$B$5</f>
        <v>218.013333333333</v>
      </c>
      <c r="L49" s="16" t="n">
        <f aca="false">K49/$B$4</f>
        <v>109.006666666667</v>
      </c>
      <c r="M49" s="19" t="s">
        <v>204</v>
      </c>
    </row>
    <row r="50" customFormat="false" ht="51.75" hidden="false" customHeight="true" outlineLevel="0" collapsed="false">
      <c r="A50" s="14" t="n">
        <v>10</v>
      </c>
      <c r="B50" s="14" t="s">
        <v>210</v>
      </c>
      <c r="C50" s="14" t="s">
        <v>15</v>
      </c>
      <c r="D50" s="14" t="s">
        <v>138</v>
      </c>
      <c r="E50" s="6" t="s">
        <v>212</v>
      </c>
      <c r="F50" s="14" t="s">
        <v>128</v>
      </c>
      <c r="G50" s="15" t="n">
        <v>28700</v>
      </c>
      <c r="H50" s="16" t="n">
        <f aca="false">G50/$B$5</f>
        <v>191.333333333333</v>
      </c>
      <c r="I50" s="14" t="n">
        <f aca="false">$B$4</f>
        <v>2</v>
      </c>
      <c r="J50" s="18" t="n">
        <f aca="false">G50*I50</f>
        <v>57400</v>
      </c>
      <c r="K50" s="16" t="n">
        <f aca="false">J50/$B$5</f>
        <v>382.666666666667</v>
      </c>
      <c r="L50" s="16" t="n">
        <f aca="false">K50/$B$4</f>
        <v>191.333333333333</v>
      </c>
      <c r="M50" s="19" t="s">
        <v>213</v>
      </c>
    </row>
    <row r="51" customFormat="false" ht="147.75" hidden="false" customHeight="true" outlineLevel="0" collapsed="false">
      <c r="A51" s="14" t="n">
        <v>10</v>
      </c>
      <c r="B51" s="14" t="s">
        <v>210</v>
      </c>
      <c r="C51" s="14" t="s">
        <v>15</v>
      </c>
      <c r="D51" s="14" t="s">
        <v>138</v>
      </c>
      <c r="E51" s="6" t="s">
        <v>214</v>
      </c>
      <c r="F51" s="14" t="s">
        <v>128</v>
      </c>
      <c r="G51" s="15" t="n">
        <v>22000</v>
      </c>
      <c r="H51" s="16" t="n">
        <f aca="false">G51/$B$5</f>
        <v>146.666666666667</v>
      </c>
      <c r="I51" s="14" t="n">
        <f aca="false">$B$4</f>
        <v>2</v>
      </c>
      <c r="J51" s="18" t="n">
        <f aca="false">G51*I51</f>
        <v>44000</v>
      </c>
      <c r="K51" s="16" t="n">
        <f aca="false">J51/$B$5</f>
        <v>293.333333333333</v>
      </c>
      <c r="L51" s="16" t="n">
        <f aca="false">K51/$B$4</f>
        <v>146.666666666667</v>
      </c>
      <c r="M51" s="19" t="s">
        <v>215</v>
      </c>
    </row>
    <row r="52" customFormat="false" ht="39" hidden="false" customHeight="true" outlineLevel="0" collapsed="false">
      <c r="A52" s="14" t="n">
        <v>10</v>
      </c>
      <c r="B52" s="14" t="s">
        <v>210</v>
      </c>
      <c r="C52" s="14" t="s">
        <v>15</v>
      </c>
      <c r="D52" s="14" t="s">
        <v>130</v>
      </c>
      <c r="E52" s="6" t="s">
        <v>216</v>
      </c>
      <c r="F52" s="14" t="s">
        <v>128</v>
      </c>
      <c r="G52" s="15" t="n">
        <v>600</v>
      </c>
      <c r="H52" s="16" t="n">
        <f aca="false">G52/$B$5</f>
        <v>4</v>
      </c>
      <c r="I52" s="14" t="n">
        <f aca="false">$B$4</f>
        <v>2</v>
      </c>
      <c r="J52" s="18" t="n">
        <f aca="false">G52*I52</f>
        <v>1200</v>
      </c>
      <c r="K52" s="16" t="n">
        <f aca="false">J52/$B$5</f>
        <v>8</v>
      </c>
      <c r="L52" s="16" t="n">
        <f aca="false">K52/$B$4</f>
        <v>4</v>
      </c>
      <c r="M52" s="19" t="s">
        <v>217</v>
      </c>
    </row>
    <row r="53" customFormat="false" ht="26.25" hidden="false" customHeight="true" outlineLevel="0" collapsed="false">
      <c r="A53" s="14" t="n">
        <v>10</v>
      </c>
      <c r="B53" s="14" t="s">
        <v>210</v>
      </c>
      <c r="C53" s="14" t="s">
        <v>15</v>
      </c>
      <c r="D53" s="14" t="s">
        <v>133</v>
      </c>
      <c r="E53" s="6" t="s">
        <v>159</v>
      </c>
      <c r="F53" s="14" t="s">
        <v>128</v>
      </c>
      <c r="G53" s="15" t="n">
        <v>5000</v>
      </c>
      <c r="H53" s="16" t="n">
        <f aca="false">G53/$B$5</f>
        <v>33.3333333333333</v>
      </c>
      <c r="I53" s="14" t="n">
        <f aca="false">$B$4</f>
        <v>2</v>
      </c>
      <c r="J53" s="18" t="n">
        <f aca="false">G53*I53</f>
        <v>10000</v>
      </c>
      <c r="K53" s="16" t="n">
        <f aca="false">J53/$B$5</f>
        <v>66.6666666666667</v>
      </c>
      <c r="L53" s="16" t="n">
        <f aca="false">K53/$B$4</f>
        <v>33.3333333333333</v>
      </c>
      <c r="M53" s="19" t="s">
        <v>160</v>
      </c>
    </row>
    <row r="54" customFormat="false" ht="51.75" hidden="false" customHeight="true" outlineLevel="0" collapsed="false">
      <c r="A54" s="14" t="n">
        <v>11</v>
      </c>
      <c r="B54" s="14" t="s">
        <v>218</v>
      </c>
      <c r="C54" s="14" t="s">
        <v>15</v>
      </c>
      <c r="D54" s="14" t="s">
        <v>126</v>
      </c>
      <c r="E54" s="6" t="s">
        <v>219</v>
      </c>
      <c r="F54" s="14" t="s">
        <v>128</v>
      </c>
      <c r="G54" s="15" t="n">
        <v>32702</v>
      </c>
      <c r="H54" s="16" t="n">
        <f aca="false">G54/$B$5</f>
        <v>218.013333333333</v>
      </c>
      <c r="I54" s="17" t="n">
        <v>1</v>
      </c>
      <c r="J54" s="18" t="n">
        <f aca="false">G54*I54</f>
        <v>32702</v>
      </c>
      <c r="K54" s="16" t="n">
        <f aca="false">J54/$B$5</f>
        <v>218.013333333333</v>
      </c>
      <c r="L54" s="16" t="n">
        <f aca="false">K54/$B$4</f>
        <v>109.006666666667</v>
      </c>
      <c r="M54" s="19" t="s">
        <v>204</v>
      </c>
    </row>
    <row r="55" customFormat="false" ht="26.25" hidden="false" customHeight="true" outlineLevel="0" collapsed="false">
      <c r="A55" s="14" t="n">
        <v>11</v>
      </c>
      <c r="B55" s="14" t="s">
        <v>218</v>
      </c>
      <c r="C55" s="14" t="s">
        <v>15</v>
      </c>
      <c r="D55" s="14" t="s">
        <v>138</v>
      </c>
      <c r="E55" s="6" t="s">
        <v>220</v>
      </c>
      <c r="F55" s="14" t="s">
        <v>128</v>
      </c>
      <c r="G55" s="15" t="n">
        <v>600</v>
      </c>
      <c r="H55" s="16" t="n">
        <f aca="false">G55/$B$5</f>
        <v>4</v>
      </c>
      <c r="I55" s="14" t="n">
        <f aca="false">$B$4</f>
        <v>2</v>
      </c>
      <c r="J55" s="18" t="n">
        <f aca="false">G55*I55</f>
        <v>1200</v>
      </c>
      <c r="K55" s="16" t="n">
        <f aca="false">J55/$B$5</f>
        <v>8</v>
      </c>
      <c r="L55" s="16" t="n">
        <f aca="false">K55/$B$4</f>
        <v>4</v>
      </c>
      <c r="M55" s="19" t="s">
        <v>182</v>
      </c>
    </row>
    <row r="56" customFormat="false" ht="39" hidden="false" customHeight="true" outlineLevel="0" collapsed="false">
      <c r="A56" s="14" t="n">
        <v>11</v>
      </c>
      <c r="B56" s="14" t="s">
        <v>218</v>
      </c>
      <c r="C56" s="14" t="s">
        <v>15</v>
      </c>
      <c r="D56" s="14" t="s">
        <v>130</v>
      </c>
      <c r="E56" s="6" t="s">
        <v>221</v>
      </c>
      <c r="F56" s="14" t="s">
        <v>128</v>
      </c>
      <c r="G56" s="15" t="n">
        <v>820</v>
      </c>
      <c r="H56" s="16" t="n">
        <f aca="false">G56/$B$5</f>
        <v>5.46666666666667</v>
      </c>
      <c r="I56" s="14" t="n">
        <f aca="false">$B$4</f>
        <v>2</v>
      </c>
      <c r="J56" s="18" t="n">
        <f aca="false">G56*I56</f>
        <v>1640</v>
      </c>
      <c r="K56" s="16" t="n">
        <f aca="false">J56/$B$5</f>
        <v>10.9333333333333</v>
      </c>
      <c r="L56" s="16" t="n">
        <f aca="false">K56/$B$4</f>
        <v>5.46666666666667</v>
      </c>
      <c r="M56" s="19" t="s">
        <v>222</v>
      </c>
    </row>
    <row r="57" customFormat="false" ht="21.75" hidden="false" customHeight="true" outlineLevel="0" collapsed="false">
      <c r="A57" s="14" t="n">
        <v>11</v>
      </c>
      <c r="B57" s="14" t="s">
        <v>218</v>
      </c>
      <c r="C57" s="14" t="s">
        <v>15</v>
      </c>
      <c r="D57" s="14" t="s">
        <v>133</v>
      </c>
      <c r="E57" s="6" t="s">
        <v>188</v>
      </c>
      <c r="F57" s="14" t="s">
        <v>128</v>
      </c>
      <c r="G57" s="15" t="n">
        <v>5000</v>
      </c>
      <c r="H57" s="16" t="n">
        <f aca="false">G57/$B$5</f>
        <v>33.3333333333333</v>
      </c>
      <c r="I57" s="14" t="n">
        <f aca="false">$B$4</f>
        <v>2</v>
      </c>
      <c r="J57" s="18" t="n">
        <f aca="false">G57*I57</f>
        <v>10000</v>
      </c>
      <c r="K57" s="16" t="n">
        <f aca="false">J57/$B$5</f>
        <v>66.6666666666667</v>
      </c>
      <c r="L57" s="16" t="n">
        <f aca="false">K57/$B$4</f>
        <v>33.3333333333333</v>
      </c>
      <c r="M57" s="19" t="s">
        <v>189</v>
      </c>
    </row>
    <row r="58" customFormat="false" ht="32.25" hidden="false" customHeight="true" outlineLevel="0" collapsed="false">
      <c r="A58" s="14" t="n">
        <v>12</v>
      </c>
      <c r="B58" s="14" t="s">
        <v>223</v>
      </c>
      <c r="C58" s="14" t="s">
        <v>15</v>
      </c>
      <c r="D58" s="14" t="s">
        <v>130</v>
      </c>
      <c r="E58" s="6" t="s">
        <v>224</v>
      </c>
      <c r="F58" s="14" t="s">
        <v>128</v>
      </c>
      <c r="G58" s="15" t="n">
        <v>1600</v>
      </c>
      <c r="H58" s="16" t="n">
        <f aca="false">G58/$B$5</f>
        <v>10.6666666666667</v>
      </c>
      <c r="I58" s="14" t="n">
        <f aca="false">$B$4</f>
        <v>2</v>
      </c>
      <c r="J58" s="18" t="n">
        <f aca="false">G58*I58</f>
        <v>3200</v>
      </c>
      <c r="K58" s="16" t="n">
        <f aca="false">J58/$B$5</f>
        <v>21.3333333333333</v>
      </c>
      <c r="L58" s="16" t="n">
        <f aca="false">K58/$B$4</f>
        <v>10.6666666666667</v>
      </c>
      <c r="M58" s="19" t="s">
        <v>225</v>
      </c>
    </row>
    <row r="59" customFormat="false" ht="26.25" hidden="false" customHeight="true" outlineLevel="0" collapsed="false">
      <c r="A59" s="14" t="n">
        <v>12</v>
      </c>
      <c r="B59" s="14" t="s">
        <v>223</v>
      </c>
      <c r="C59" s="14" t="s">
        <v>15</v>
      </c>
      <c r="D59" s="14" t="s">
        <v>133</v>
      </c>
      <c r="E59" s="6" t="s">
        <v>226</v>
      </c>
      <c r="F59" s="14" t="s">
        <v>128</v>
      </c>
      <c r="G59" s="15" t="n">
        <v>3000</v>
      </c>
      <c r="H59" s="16" t="n">
        <f aca="false">G59/$B$5</f>
        <v>20</v>
      </c>
      <c r="I59" s="14" t="n">
        <f aca="false">$B$4</f>
        <v>2</v>
      </c>
      <c r="J59" s="18" t="n">
        <f aca="false">G59*I59</f>
        <v>6000</v>
      </c>
      <c r="K59" s="16" t="n">
        <f aca="false">J59/$B$5</f>
        <v>40</v>
      </c>
      <c r="L59" s="16" t="n">
        <f aca="false">K59/$B$4</f>
        <v>20</v>
      </c>
      <c r="M59" s="19" t="s">
        <v>227</v>
      </c>
    </row>
    <row r="60" customFormat="false" ht="157.5" hidden="false" customHeight="true" outlineLevel="0" collapsed="false">
      <c r="A60" s="14" t="n">
        <v>2</v>
      </c>
      <c r="B60" s="14" t="s">
        <v>136</v>
      </c>
      <c r="C60" s="14" t="s">
        <v>6</v>
      </c>
      <c r="D60" s="14" t="s">
        <v>138</v>
      </c>
      <c r="E60" s="6" t="s">
        <v>228</v>
      </c>
      <c r="F60" s="14" t="s">
        <v>128</v>
      </c>
      <c r="G60" s="15" t="n">
        <v>38000</v>
      </c>
      <c r="H60" s="16" t="n">
        <f aca="false">G60/$B$5</f>
        <v>253.333333333333</v>
      </c>
      <c r="I60" s="17" t="n">
        <v>1</v>
      </c>
      <c r="J60" s="18" t="n">
        <f aca="false">G60*I60</f>
        <v>38000</v>
      </c>
      <c r="K60" s="16" t="n">
        <f aca="false">J60/$B$5</f>
        <v>253.333333333333</v>
      </c>
      <c r="L60" s="16" t="n">
        <f aca="false">K60/$B$4</f>
        <v>126.666666666667</v>
      </c>
      <c r="M60" s="19" t="s">
        <v>229</v>
      </c>
    </row>
    <row r="61" customFormat="false" ht="15" hidden="false" customHeight="true" outlineLevel="0" collapsed="false">
      <c r="A61" s="14" t="n">
        <v>3</v>
      </c>
      <c r="B61" s="14" t="s">
        <v>145</v>
      </c>
      <c r="C61" s="14" t="s">
        <v>6</v>
      </c>
      <c r="D61" s="14" t="s">
        <v>133</v>
      </c>
      <c r="E61" s="6" t="s">
        <v>230</v>
      </c>
      <c r="F61" s="14" t="s">
        <v>128</v>
      </c>
      <c r="G61" s="15" t="n">
        <v>1800</v>
      </c>
      <c r="H61" s="16" t="n">
        <f aca="false">G61/$B$5</f>
        <v>12</v>
      </c>
      <c r="I61" s="14" t="n">
        <f aca="false">$B$4</f>
        <v>2</v>
      </c>
      <c r="J61" s="18" t="n">
        <f aca="false">G61*I61</f>
        <v>3600</v>
      </c>
      <c r="K61" s="16" t="n">
        <f aca="false">J61/$B$5</f>
        <v>24</v>
      </c>
      <c r="L61" s="16" t="n">
        <f aca="false">K61/$B$4</f>
        <v>12</v>
      </c>
      <c r="M61" s="19" t="s">
        <v>231</v>
      </c>
    </row>
    <row r="62" customFormat="false" ht="15" hidden="false" customHeight="true" outlineLevel="0" collapsed="false">
      <c r="A62" s="20" t="n">
        <v>8</v>
      </c>
      <c r="B62" s="20" t="s">
        <v>190</v>
      </c>
      <c r="C62" s="20" t="s">
        <v>12</v>
      </c>
      <c r="D62" s="20" t="s">
        <v>138</v>
      </c>
      <c r="E62" s="6" t="s">
        <v>232</v>
      </c>
      <c r="F62" s="20" t="s">
        <v>128</v>
      </c>
      <c r="G62" s="21" t="n">
        <v>4350</v>
      </c>
      <c r="H62" s="22" t="n">
        <f aca="false">G62/$B$5</f>
        <v>29</v>
      </c>
      <c r="I62" s="20" t="n">
        <f aca="false">$B$4</f>
        <v>2</v>
      </c>
      <c r="J62" s="23" t="n">
        <f aca="false">G62*I62</f>
        <v>8700</v>
      </c>
      <c r="K62" s="22" t="n">
        <f aca="false">J62/$B$5</f>
        <v>58</v>
      </c>
      <c r="L62" s="22" t="n">
        <f aca="false">K62/$B$4</f>
        <v>29</v>
      </c>
      <c r="M62" s="19" t="s">
        <v>233</v>
      </c>
    </row>
    <row r="63" customFormat="false" ht="39" hidden="false" customHeight="true" outlineLevel="0" collapsed="false">
      <c r="A63" s="4" t="s">
        <v>234</v>
      </c>
    </row>
    <row r="64" customFormat="false" ht="15" hidden="false" customHeight="true" outlineLevel="0" collapsed="false">
      <c r="A64" s="24" t="s">
        <v>235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customFormat="false" ht="15" hidden="false" customHeight="true" outlineLevel="0" collapsed="false">
      <c r="A65" s="8" t="s">
        <v>113</v>
      </c>
      <c r="B65" s="8" t="s">
        <v>114</v>
      </c>
      <c r="C65" s="8" t="s">
        <v>3</v>
      </c>
      <c r="D65" s="8" t="s">
        <v>236</v>
      </c>
      <c r="E65" s="8" t="s">
        <v>237</v>
      </c>
      <c r="F65" s="8" t="s">
        <v>238</v>
      </c>
      <c r="G65" s="8" t="s">
        <v>239</v>
      </c>
      <c r="H65" s="8" t="s">
        <v>240</v>
      </c>
      <c r="I65" s="8" t="s">
        <v>241</v>
      </c>
      <c r="J65" s="8" t="s">
        <v>242</v>
      </c>
      <c r="K65" s="8" t="s">
        <v>243</v>
      </c>
      <c r="L65" s="8" t="s">
        <v>244</v>
      </c>
      <c r="M65" s="8" t="s">
        <v>245</v>
      </c>
      <c r="N65" s="8" t="s">
        <v>246</v>
      </c>
      <c r="O65" s="8" t="s">
        <v>247</v>
      </c>
    </row>
    <row r="66" customFormat="false" ht="15" hidden="false" customHeight="true" outlineLevel="0" collapsed="false">
      <c r="A66" s="14" t="n">
        <v>1</v>
      </c>
      <c r="B66" s="14" t="s">
        <v>125</v>
      </c>
      <c r="C66" s="14" t="s">
        <v>6</v>
      </c>
      <c r="D66" s="18" t="n">
        <f aca="false">SUMIFS($J$10:$J$62,$A$10:$A$62,A66,$D$10:$D$62,"Lodging",$F$10:$F$62,"N")</f>
        <v>35867</v>
      </c>
      <c r="E66" s="16" t="n">
        <f aca="false">SUMIFS($K$10:$K$62,$A$10:$A$62,A66,$D$10:$D$62,"Lodging",$F$10:$F$62,"N")</f>
        <v>239.113333333333</v>
      </c>
      <c r="F66" s="18" t="n">
        <f aca="false">SUMIFS($J$10:$J$62,$A$10:$A$62,A66,$D$10:$D$62,"Transport",$F$10:$F$62,"N")</f>
        <v>6400</v>
      </c>
      <c r="G66" s="16" t="n">
        <f aca="false">SUMIFS($K$10:$K$62,$A$10:$A$62,A66,$D$10:$D$62,"Transport",$F$10:$F$62,"N")</f>
        <v>42.6666666666667</v>
      </c>
      <c r="H66" s="18" t="n">
        <f aca="false">SUMIFS($J$10:$J$62,$A$10:$A$62,A66,$D$10:$D$62,"Activities",$F$10:$F$62,"N")</f>
        <v>0</v>
      </c>
      <c r="I66" s="16" t="n">
        <f aca="false">SUMIFS($K$10:$K$62,$A$10:$A$62,A66,$D$10:$D$62,"Activities",$F$10:$F$62,"N")</f>
        <v>0</v>
      </c>
      <c r="J66" s="18" t="n">
        <f aca="false">SUMIFS($J$10:$J$62,$A$10:$A$62,A66,$D$10:$D$62,"Food",$F$10:$F$62,"N")</f>
        <v>8000</v>
      </c>
      <c r="K66" s="16" t="n">
        <f aca="false">SUMIFS($K$10:$K$62,$A$10:$A$62,A66,$D$10:$D$62,"Food",$F$10:$F$62,"N")</f>
        <v>53.3333333333333</v>
      </c>
      <c r="L66" s="18" t="n">
        <f aca="false">SUMIFS($J$10:$J$62,$A$10:$A$62,A66,$F$10:$F$62,"Y")</f>
        <v>0</v>
      </c>
      <c r="M66" s="16" t="n">
        <f aca="false">SUMIFS($K$10:$K$62,$A$10:$A$62,A66,$F$10:$F$62,"Y")</f>
        <v>0</v>
      </c>
      <c r="N66" s="25" t="n">
        <f aca="false">D66+F66+H66+J66+L66</f>
        <v>50267</v>
      </c>
      <c r="O66" s="26" t="n">
        <f aca="false">E66+G66+I66+K66+M66</f>
        <v>335.113333333333</v>
      </c>
    </row>
    <row r="67" customFormat="false" ht="15" hidden="false" customHeight="true" outlineLevel="0" collapsed="false">
      <c r="A67" s="14" t="n">
        <v>2</v>
      </c>
      <c r="B67" s="14" t="s">
        <v>136</v>
      </c>
      <c r="C67" s="14" t="s">
        <v>6</v>
      </c>
      <c r="D67" s="18" t="n">
        <f aca="false">SUMIFS($J$10:$J$62,$A$10:$A$62,A67,$D$10:$D$62,"Lodging",$F$10:$F$62,"N")</f>
        <v>35867</v>
      </c>
      <c r="E67" s="16" t="n">
        <f aca="false">SUMIFS($K$10:$K$62,$A$10:$A$62,A67,$D$10:$D$62,"Lodging",$F$10:$F$62,"N")</f>
        <v>239.113333333333</v>
      </c>
      <c r="F67" s="18" t="n">
        <f aca="false">SUMIFS($J$10:$J$62,$A$10:$A$62,A67,$D$10:$D$62,"Transport",$F$10:$F$62,"N")</f>
        <v>1600</v>
      </c>
      <c r="G67" s="16" t="n">
        <f aca="false">SUMIFS($K$10:$K$62,$A$10:$A$62,A67,$D$10:$D$62,"Transport",$F$10:$F$62,"N")</f>
        <v>10.6666666666667</v>
      </c>
      <c r="H67" s="18" t="n">
        <f aca="false">SUMIFS($J$10:$J$62,$A$10:$A$62,A67,$D$10:$D$62,"Activities",$F$10:$F$62,"N")</f>
        <v>45500</v>
      </c>
      <c r="I67" s="16" t="n">
        <f aca="false">SUMIFS($K$10:$K$62,$A$10:$A$62,A67,$D$10:$D$62,"Activities",$F$10:$F$62,"N")</f>
        <v>303.333333333333</v>
      </c>
      <c r="J67" s="18" t="n">
        <f aca="false">SUMIFS($J$10:$J$62,$A$10:$A$62,A67,$D$10:$D$62,"Food",$F$10:$F$62,"N")</f>
        <v>2000</v>
      </c>
      <c r="K67" s="16" t="n">
        <f aca="false">SUMIFS($K$10:$K$62,$A$10:$A$62,A67,$D$10:$D$62,"Food",$F$10:$F$62,"N")</f>
        <v>13.3333333333333</v>
      </c>
      <c r="L67" s="18" t="n">
        <f aca="false">SUMIFS($J$10:$J$62,$A$10:$A$62,A67,$F$10:$F$62,"Y")</f>
        <v>0</v>
      </c>
      <c r="M67" s="16" t="n">
        <f aca="false">SUMIFS($K$10:$K$62,$A$10:$A$62,A67,$F$10:$F$62,"Y")</f>
        <v>0</v>
      </c>
      <c r="N67" s="25" t="n">
        <f aca="false">D67+F67+H67+J67+L67</f>
        <v>84967</v>
      </c>
      <c r="O67" s="26" t="n">
        <f aca="false">E67+G67+I67+K67+M67</f>
        <v>566.446666666667</v>
      </c>
    </row>
    <row r="68" customFormat="false" ht="15" hidden="false" customHeight="true" outlineLevel="0" collapsed="false">
      <c r="A68" s="14" t="n">
        <v>3</v>
      </c>
      <c r="B68" s="14" t="s">
        <v>145</v>
      </c>
      <c r="C68" s="14" t="s">
        <v>6</v>
      </c>
      <c r="D68" s="18" t="n">
        <f aca="false">SUMIFS($J$10:$J$62,$A$10:$A$62,A68,$D$10:$D$62,"Lodging",$F$10:$F$62,"N")</f>
        <v>35867</v>
      </c>
      <c r="E68" s="16" t="n">
        <f aca="false">SUMIFS($K$10:$K$62,$A$10:$A$62,A68,$D$10:$D$62,"Lodging",$F$10:$F$62,"N")</f>
        <v>239.113333333333</v>
      </c>
      <c r="F68" s="18" t="n">
        <f aca="false">SUMIFS($J$10:$J$62,$A$10:$A$62,A68,$D$10:$D$62,"Transport",$F$10:$F$62,"N")</f>
        <v>2400</v>
      </c>
      <c r="G68" s="16" t="n">
        <f aca="false">SUMIFS($K$10:$K$62,$A$10:$A$62,A68,$D$10:$D$62,"Transport",$F$10:$F$62,"N")</f>
        <v>16</v>
      </c>
      <c r="H68" s="18" t="n">
        <f aca="false">SUMIFS($J$10:$J$62,$A$10:$A$62,A68,$D$10:$D$62,"Activities",$F$10:$F$62,"N")</f>
        <v>8600</v>
      </c>
      <c r="I68" s="16" t="n">
        <f aca="false">SUMIFS($K$10:$K$62,$A$10:$A$62,A68,$D$10:$D$62,"Activities",$F$10:$F$62,"N")</f>
        <v>57.3333333333333</v>
      </c>
      <c r="J68" s="18" t="n">
        <f aca="false">SUMIFS($J$10:$J$62,$A$10:$A$62,A68,$D$10:$D$62,"Food",$F$10:$F$62,"N")</f>
        <v>27800</v>
      </c>
      <c r="K68" s="16" t="n">
        <f aca="false">SUMIFS($K$10:$K$62,$A$10:$A$62,A68,$D$10:$D$62,"Food",$F$10:$F$62,"N")</f>
        <v>185.333333333333</v>
      </c>
      <c r="L68" s="18" t="n">
        <f aca="false">SUMIFS($J$10:$J$62,$A$10:$A$62,A68,$F$10:$F$62,"Y")</f>
        <v>0</v>
      </c>
      <c r="M68" s="16" t="n">
        <f aca="false">SUMIFS($K$10:$K$62,$A$10:$A$62,A68,$F$10:$F$62,"Y")</f>
        <v>0</v>
      </c>
      <c r="N68" s="25" t="n">
        <f aca="false">D68+F68+H68+J68+L68</f>
        <v>74667</v>
      </c>
      <c r="O68" s="26" t="n">
        <f aca="false">E68+G68+I68+K68+M68</f>
        <v>497.78</v>
      </c>
    </row>
    <row r="69" customFormat="false" ht="15" hidden="false" customHeight="true" outlineLevel="0" collapsed="false">
      <c r="A69" s="14" t="n">
        <v>4</v>
      </c>
      <c r="B69" s="14" t="s">
        <v>155</v>
      </c>
      <c r="C69" s="14" t="s">
        <v>6</v>
      </c>
      <c r="D69" s="18" t="n">
        <f aca="false">SUMIFS($J$10:$J$62,$A$10:$A$62,A69,$D$10:$D$62,"Lodging",$F$10:$F$62,"N")</f>
        <v>35867</v>
      </c>
      <c r="E69" s="16" t="n">
        <f aca="false">SUMIFS($K$10:$K$62,$A$10:$A$62,A69,$D$10:$D$62,"Lodging",$F$10:$F$62,"N")</f>
        <v>239.113333333333</v>
      </c>
      <c r="F69" s="18" t="n">
        <f aca="false">SUMIFS($J$10:$J$62,$A$10:$A$62,A69,$D$10:$D$62,"Transport",$F$10:$F$62,"N")</f>
        <v>1200</v>
      </c>
      <c r="G69" s="16" t="n">
        <f aca="false">SUMIFS($K$10:$K$62,$A$10:$A$62,A69,$D$10:$D$62,"Transport",$F$10:$F$62,"N")</f>
        <v>8</v>
      </c>
      <c r="H69" s="18" t="n">
        <f aca="false">SUMIFS($J$10:$J$62,$A$10:$A$62,A69,$D$10:$D$62,"Activities",$F$10:$F$62,"N")</f>
        <v>18800</v>
      </c>
      <c r="I69" s="16" t="n">
        <f aca="false">SUMIFS($K$10:$K$62,$A$10:$A$62,A69,$D$10:$D$62,"Activities",$F$10:$F$62,"N")</f>
        <v>125.333333333333</v>
      </c>
      <c r="J69" s="18" t="n">
        <f aca="false">SUMIFS($J$10:$J$62,$A$10:$A$62,A69,$D$10:$D$62,"Food",$F$10:$F$62,"N")</f>
        <v>8000</v>
      </c>
      <c r="K69" s="16" t="n">
        <f aca="false">SUMIFS($K$10:$K$62,$A$10:$A$62,A69,$D$10:$D$62,"Food",$F$10:$F$62,"N")</f>
        <v>53.3333333333333</v>
      </c>
      <c r="L69" s="18" t="n">
        <f aca="false">SUMIFS($J$10:$J$62,$A$10:$A$62,A69,$F$10:$F$62,"Y")</f>
        <v>0</v>
      </c>
      <c r="M69" s="16" t="n">
        <f aca="false">SUMIFS($K$10:$K$62,$A$10:$A$62,A69,$F$10:$F$62,"Y")</f>
        <v>0</v>
      </c>
      <c r="N69" s="25" t="n">
        <f aca="false">D69+F69+H69+J69+L69</f>
        <v>63867</v>
      </c>
      <c r="O69" s="26" t="n">
        <f aca="false">E69+G69+I69+K69+M69</f>
        <v>425.78</v>
      </c>
    </row>
    <row r="70" customFormat="false" ht="15" hidden="false" customHeight="true" outlineLevel="0" collapsed="false">
      <c r="A70" s="14" t="n">
        <v>5</v>
      </c>
      <c r="B70" s="14" t="s">
        <v>163</v>
      </c>
      <c r="C70" s="14" t="s">
        <v>9</v>
      </c>
      <c r="D70" s="18" t="n">
        <f aca="false">SUMIFS($J$10:$J$62,$A$10:$A$62,A70,$D$10:$D$62,"Lodging",$F$10:$F$62,"N")</f>
        <v>171898</v>
      </c>
      <c r="E70" s="16" t="n">
        <f aca="false">SUMIFS($K$10:$K$62,$A$10:$A$62,A70,$D$10:$D$62,"Lodging",$F$10:$F$62,"N")</f>
        <v>1145.98666666667</v>
      </c>
      <c r="F70" s="18" t="n">
        <f aca="false">SUMIFS($J$10:$J$62,$A$10:$A$62,A70,$D$10:$D$62,"Transport",$F$10:$F$62,"N")</f>
        <v>14500</v>
      </c>
      <c r="G70" s="16" t="n">
        <f aca="false">SUMIFS($K$10:$K$62,$A$10:$A$62,A70,$D$10:$D$62,"Transport",$F$10:$F$62,"N")</f>
        <v>96.6666666666667</v>
      </c>
      <c r="H70" s="18" t="n">
        <f aca="false">SUMIFS($J$10:$J$62,$A$10:$A$62,A70,$D$10:$D$62,"Activities",$F$10:$F$62,"N")</f>
        <v>0</v>
      </c>
      <c r="I70" s="16" t="n">
        <f aca="false">SUMIFS($K$10:$K$62,$A$10:$A$62,A70,$D$10:$D$62,"Activities",$F$10:$F$62,"N")</f>
        <v>0</v>
      </c>
      <c r="J70" s="18" t="n">
        <f aca="false">SUMIFS($J$10:$J$62,$A$10:$A$62,A70,$D$10:$D$62,"Food",$F$10:$F$62,"N")</f>
        <v>5000</v>
      </c>
      <c r="K70" s="16" t="n">
        <f aca="false">SUMIFS($K$10:$K$62,$A$10:$A$62,A70,$D$10:$D$62,"Food",$F$10:$F$62,"N")</f>
        <v>33.3333333333333</v>
      </c>
      <c r="L70" s="18" t="n">
        <f aca="false">SUMIFS($J$10:$J$62,$A$10:$A$62,A70,$F$10:$F$62,"Y")</f>
        <v>0</v>
      </c>
      <c r="M70" s="16" t="n">
        <f aca="false">SUMIFS($K$10:$K$62,$A$10:$A$62,A70,$F$10:$F$62,"Y")</f>
        <v>0</v>
      </c>
      <c r="N70" s="25" t="n">
        <f aca="false">D70+F70+H70+J70+L70</f>
        <v>191398</v>
      </c>
      <c r="O70" s="26" t="n">
        <f aca="false">E70+G70+I70+K70+M70</f>
        <v>1275.98666666667</v>
      </c>
    </row>
    <row r="71" customFormat="false" ht="15" hidden="false" customHeight="true" outlineLevel="0" collapsed="false">
      <c r="A71" s="14" t="n">
        <v>6</v>
      </c>
      <c r="B71" s="14" t="s">
        <v>172</v>
      </c>
      <c r="C71" s="14" t="s">
        <v>12</v>
      </c>
      <c r="D71" s="18" t="n">
        <f aca="false">SUMIFS($J$10:$J$62,$A$10:$A$62,A71,$D$10:$D$62,"Lodging",$F$10:$F$62,"N")</f>
        <v>27000</v>
      </c>
      <c r="E71" s="16" t="n">
        <f aca="false">SUMIFS($K$10:$K$62,$A$10:$A$62,A71,$D$10:$D$62,"Lodging",$F$10:$F$62,"N")</f>
        <v>180</v>
      </c>
      <c r="F71" s="18" t="n">
        <f aca="false">SUMIFS($J$10:$J$62,$A$10:$A$62,A71,$D$10:$D$62,"Transport",$F$10:$F$62,"N")</f>
        <v>31740</v>
      </c>
      <c r="G71" s="16" t="n">
        <f aca="false">SUMIFS($K$10:$K$62,$A$10:$A$62,A71,$D$10:$D$62,"Transport",$F$10:$F$62,"N")</f>
        <v>211.6</v>
      </c>
      <c r="H71" s="18" t="n">
        <f aca="false">SUMIFS($J$10:$J$62,$A$10:$A$62,A71,$D$10:$D$62,"Activities",$F$10:$F$62,"N")</f>
        <v>6600</v>
      </c>
      <c r="I71" s="16" t="n">
        <f aca="false">SUMIFS($K$10:$K$62,$A$10:$A$62,A71,$D$10:$D$62,"Activities",$F$10:$F$62,"N")</f>
        <v>44</v>
      </c>
      <c r="J71" s="18" t="n">
        <f aca="false">SUMIFS($J$10:$J$62,$A$10:$A$62,A71,$D$10:$D$62,"Food",$F$10:$F$62,"N")</f>
        <v>10000</v>
      </c>
      <c r="K71" s="16" t="n">
        <f aca="false">SUMIFS($K$10:$K$62,$A$10:$A$62,A71,$D$10:$D$62,"Food",$F$10:$F$62,"N")</f>
        <v>66.6666666666667</v>
      </c>
      <c r="L71" s="18" t="n">
        <f aca="false">SUMIFS($J$10:$J$62,$A$10:$A$62,A71,$F$10:$F$62,"Y")</f>
        <v>0</v>
      </c>
      <c r="M71" s="16" t="n">
        <f aca="false">SUMIFS($K$10:$K$62,$A$10:$A$62,A71,$F$10:$F$62,"Y")</f>
        <v>0</v>
      </c>
      <c r="N71" s="25" t="n">
        <f aca="false">D71+F71+H71+J71+L71</f>
        <v>75340</v>
      </c>
      <c r="O71" s="26" t="n">
        <f aca="false">E71+G71+I71+K71+M71</f>
        <v>502.266666666667</v>
      </c>
    </row>
    <row r="72" customFormat="false" ht="15" hidden="false" customHeight="true" outlineLevel="0" collapsed="false">
      <c r="A72" s="14" t="n">
        <v>7</v>
      </c>
      <c r="B72" s="14" t="s">
        <v>179</v>
      </c>
      <c r="C72" s="14" t="s">
        <v>12</v>
      </c>
      <c r="D72" s="18" t="n">
        <f aca="false">SUMIFS($J$10:$J$62,$A$10:$A$62,A72,$D$10:$D$62,"Lodging",$F$10:$F$62,"N")</f>
        <v>27000</v>
      </c>
      <c r="E72" s="16" t="n">
        <f aca="false">SUMIFS($K$10:$K$62,$A$10:$A$62,A72,$D$10:$D$62,"Lodging",$F$10:$F$62,"N")</f>
        <v>180</v>
      </c>
      <c r="F72" s="18" t="n">
        <f aca="false">SUMIFS($J$10:$J$62,$A$10:$A$62,A72,$D$10:$D$62,"Transport",$F$10:$F$62,"N")</f>
        <v>2200</v>
      </c>
      <c r="G72" s="16" t="n">
        <f aca="false">SUMIFS($K$10:$K$62,$A$10:$A$62,A72,$D$10:$D$62,"Transport",$F$10:$F$62,"N")</f>
        <v>14.6666666666667</v>
      </c>
      <c r="H72" s="18" t="n">
        <f aca="false">SUMIFS($J$10:$J$62,$A$10:$A$62,A72,$D$10:$D$62,"Activities",$F$10:$F$62,"N")</f>
        <v>800</v>
      </c>
      <c r="I72" s="16" t="n">
        <f aca="false">SUMIFS($K$10:$K$62,$A$10:$A$62,A72,$D$10:$D$62,"Activities",$F$10:$F$62,"N")</f>
        <v>5.33333333333333</v>
      </c>
      <c r="J72" s="18" t="n">
        <f aca="false">SUMIFS($J$10:$J$62,$A$10:$A$62,A72,$D$10:$D$62,"Food",$F$10:$F$62,"N")</f>
        <v>10000</v>
      </c>
      <c r="K72" s="16" t="n">
        <f aca="false">SUMIFS($K$10:$K$62,$A$10:$A$62,A72,$D$10:$D$62,"Food",$F$10:$F$62,"N")</f>
        <v>66.6666666666667</v>
      </c>
      <c r="L72" s="18" t="n">
        <f aca="false">SUMIFS($J$10:$J$62,$A$10:$A$62,A72,$F$10:$F$62,"Y")</f>
        <v>27500</v>
      </c>
      <c r="M72" s="16" t="n">
        <f aca="false">SUMIFS($K$10:$K$62,$A$10:$A$62,A72,$F$10:$F$62,"Y")</f>
        <v>183.333333333333</v>
      </c>
      <c r="N72" s="25" t="n">
        <f aca="false">D72+F72+H72+J72+L72</f>
        <v>67500</v>
      </c>
      <c r="O72" s="26" t="n">
        <f aca="false">E72+G72+I72+K72+M72</f>
        <v>450</v>
      </c>
    </row>
    <row r="73" customFormat="false" ht="15" hidden="false" customHeight="true" outlineLevel="0" collapsed="false">
      <c r="A73" s="14" t="n">
        <v>8</v>
      </c>
      <c r="B73" s="14" t="s">
        <v>190</v>
      </c>
      <c r="C73" s="14" t="s">
        <v>12</v>
      </c>
      <c r="D73" s="18" t="n">
        <f aca="false">SUMIFS($J$10:$J$62,$A$10:$A$62,A73,$D$10:$D$62,"Lodging",$F$10:$F$62,"N")</f>
        <v>27000</v>
      </c>
      <c r="E73" s="16" t="n">
        <f aca="false">SUMIFS($K$10:$K$62,$A$10:$A$62,A73,$D$10:$D$62,"Lodging",$F$10:$F$62,"N")</f>
        <v>180</v>
      </c>
      <c r="F73" s="18" t="n">
        <f aca="false">SUMIFS($J$10:$J$62,$A$10:$A$62,A73,$D$10:$D$62,"Transport",$F$10:$F$62,"N")</f>
        <v>2200</v>
      </c>
      <c r="G73" s="16" t="n">
        <f aca="false">SUMIFS($K$10:$K$62,$A$10:$A$62,A73,$D$10:$D$62,"Transport",$F$10:$F$62,"N")</f>
        <v>14.6666666666667</v>
      </c>
      <c r="H73" s="18" t="n">
        <f aca="false">SUMIFS($J$10:$J$62,$A$10:$A$62,A73,$D$10:$D$62,"Activities",$F$10:$F$62,"N")</f>
        <v>16700</v>
      </c>
      <c r="I73" s="16" t="n">
        <f aca="false">SUMIFS($K$10:$K$62,$A$10:$A$62,A73,$D$10:$D$62,"Activities",$F$10:$F$62,"N")</f>
        <v>111.333333333333</v>
      </c>
      <c r="J73" s="18" t="n">
        <f aca="false">SUMIFS($J$10:$J$62,$A$10:$A$62,A73,$D$10:$D$62,"Food",$F$10:$F$62,"N")</f>
        <v>6000</v>
      </c>
      <c r="K73" s="16" t="n">
        <f aca="false">SUMIFS($K$10:$K$62,$A$10:$A$62,A73,$D$10:$D$62,"Food",$F$10:$F$62,"N")</f>
        <v>40</v>
      </c>
      <c r="L73" s="18" t="n">
        <f aca="false">SUMIFS($J$10:$J$62,$A$10:$A$62,A73,$F$10:$F$62,"Y")</f>
        <v>28500</v>
      </c>
      <c r="M73" s="16" t="n">
        <f aca="false">SUMIFS($K$10:$K$62,$A$10:$A$62,A73,$F$10:$F$62,"Y")</f>
        <v>190</v>
      </c>
      <c r="N73" s="25" t="n">
        <f aca="false">D73+F73+H73+J73+L73</f>
        <v>80400</v>
      </c>
      <c r="O73" s="26" t="n">
        <f aca="false">E73+G73+I73+K73+M73</f>
        <v>536</v>
      </c>
    </row>
    <row r="74" customFormat="false" ht="15" hidden="false" customHeight="true" outlineLevel="0" collapsed="false">
      <c r="A74" s="14" t="n">
        <v>9</v>
      </c>
      <c r="B74" s="14" t="s">
        <v>202</v>
      </c>
      <c r="C74" s="14" t="s">
        <v>15</v>
      </c>
      <c r="D74" s="18" t="n">
        <f aca="false">SUMIFS($J$10:$J$62,$A$10:$A$62,A74,$D$10:$D$62,"Lodging",$F$10:$F$62,"N")</f>
        <v>32702</v>
      </c>
      <c r="E74" s="16" t="n">
        <f aca="false">SUMIFS($K$10:$K$62,$A$10:$A$62,A74,$D$10:$D$62,"Lodging",$F$10:$F$62,"N")</f>
        <v>218.013333333333</v>
      </c>
      <c r="F74" s="18" t="n">
        <f aca="false">SUMIFS($J$10:$J$62,$A$10:$A$62,A74,$D$10:$D$62,"Transport",$F$10:$F$62,"N")</f>
        <v>1160</v>
      </c>
      <c r="G74" s="16" t="n">
        <f aca="false">SUMIFS($K$10:$K$62,$A$10:$A$62,A74,$D$10:$D$62,"Transport",$F$10:$F$62,"N")</f>
        <v>7.73333333333333</v>
      </c>
      <c r="H74" s="18" t="n">
        <f aca="false">SUMIFS($J$10:$J$62,$A$10:$A$62,A74,$D$10:$D$62,"Activities",$F$10:$F$62,"N")</f>
        <v>0</v>
      </c>
      <c r="I74" s="16" t="n">
        <f aca="false">SUMIFS($K$10:$K$62,$A$10:$A$62,A74,$D$10:$D$62,"Activities",$F$10:$F$62,"N")</f>
        <v>0</v>
      </c>
      <c r="J74" s="18" t="n">
        <f aca="false">SUMIFS($J$10:$J$62,$A$10:$A$62,A74,$D$10:$D$62,"Food",$F$10:$F$62,"N")</f>
        <v>6000</v>
      </c>
      <c r="K74" s="16" t="n">
        <f aca="false">SUMIFS($K$10:$K$62,$A$10:$A$62,A74,$D$10:$D$62,"Food",$F$10:$F$62,"N")</f>
        <v>40</v>
      </c>
      <c r="L74" s="18" t="n">
        <f aca="false">SUMIFS($J$10:$J$62,$A$10:$A$62,A74,$F$10:$F$62,"Y")</f>
        <v>34500</v>
      </c>
      <c r="M74" s="16" t="n">
        <f aca="false">SUMIFS($K$10:$K$62,$A$10:$A$62,A74,$F$10:$F$62,"Y")</f>
        <v>230</v>
      </c>
      <c r="N74" s="25" t="n">
        <f aca="false">D74+F74+H74+J74+L74</f>
        <v>74362</v>
      </c>
      <c r="O74" s="26" t="n">
        <f aca="false">E74+G74+I74+K74+M74</f>
        <v>495.746666666667</v>
      </c>
    </row>
    <row r="75" customFormat="false" ht="15" hidden="false" customHeight="true" outlineLevel="0" collapsed="false">
      <c r="A75" s="14" t="n">
        <v>10</v>
      </c>
      <c r="B75" s="14" t="s">
        <v>210</v>
      </c>
      <c r="C75" s="14" t="s">
        <v>15</v>
      </c>
      <c r="D75" s="18" t="n">
        <f aca="false">SUMIFS($J$10:$J$62,$A$10:$A$62,A75,$D$10:$D$62,"Lodging",$F$10:$F$62,"N")</f>
        <v>32702</v>
      </c>
      <c r="E75" s="16" t="n">
        <f aca="false">SUMIFS($K$10:$K$62,$A$10:$A$62,A75,$D$10:$D$62,"Lodging",$F$10:$F$62,"N")</f>
        <v>218.013333333333</v>
      </c>
      <c r="F75" s="18" t="n">
        <f aca="false">SUMIFS($J$10:$J$62,$A$10:$A$62,A75,$D$10:$D$62,"Transport",$F$10:$F$62,"N")</f>
        <v>1200</v>
      </c>
      <c r="G75" s="16" t="n">
        <f aca="false">SUMIFS($K$10:$K$62,$A$10:$A$62,A75,$D$10:$D$62,"Transport",$F$10:$F$62,"N")</f>
        <v>8</v>
      </c>
      <c r="H75" s="18" t="n">
        <f aca="false">SUMIFS($J$10:$J$62,$A$10:$A$62,A75,$D$10:$D$62,"Activities",$F$10:$F$62,"N")</f>
        <v>101400</v>
      </c>
      <c r="I75" s="16" t="n">
        <f aca="false">SUMIFS($K$10:$K$62,$A$10:$A$62,A75,$D$10:$D$62,"Activities",$F$10:$F$62,"N")</f>
        <v>676</v>
      </c>
      <c r="J75" s="18" t="n">
        <f aca="false">SUMIFS($J$10:$J$62,$A$10:$A$62,A75,$D$10:$D$62,"Food",$F$10:$F$62,"N")</f>
        <v>10000</v>
      </c>
      <c r="K75" s="16" t="n">
        <f aca="false">SUMIFS($K$10:$K$62,$A$10:$A$62,A75,$D$10:$D$62,"Food",$F$10:$F$62,"N")</f>
        <v>66.6666666666667</v>
      </c>
      <c r="L75" s="18" t="n">
        <f aca="false">SUMIFS($J$10:$J$62,$A$10:$A$62,A75,$F$10:$F$62,"Y")</f>
        <v>0</v>
      </c>
      <c r="M75" s="16" t="n">
        <f aca="false">SUMIFS($K$10:$K$62,$A$10:$A$62,A75,$F$10:$F$62,"Y")</f>
        <v>0</v>
      </c>
      <c r="N75" s="25" t="n">
        <f aca="false">D75+F75+H75+J75+L75</f>
        <v>145302</v>
      </c>
      <c r="O75" s="26" t="n">
        <f aca="false">E75+G75+I75+K75+M75</f>
        <v>968.68</v>
      </c>
    </row>
    <row r="76" customFormat="false" ht="15" hidden="false" customHeight="true" outlineLevel="0" collapsed="false">
      <c r="A76" s="14" t="n">
        <v>11</v>
      </c>
      <c r="B76" s="14" t="s">
        <v>218</v>
      </c>
      <c r="C76" s="14" t="s">
        <v>15</v>
      </c>
      <c r="D76" s="18" t="n">
        <f aca="false">SUMIFS($J$10:$J$62,$A$10:$A$62,A76,$D$10:$D$62,"Lodging",$F$10:$F$62,"N")</f>
        <v>32702</v>
      </c>
      <c r="E76" s="16" t="n">
        <f aca="false">SUMIFS($K$10:$K$62,$A$10:$A$62,A76,$D$10:$D$62,"Lodging",$F$10:$F$62,"N")</f>
        <v>218.013333333333</v>
      </c>
      <c r="F76" s="18" t="n">
        <f aca="false">SUMIFS($J$10:$J$62,$A$10:$A$62,A76,$D$10:$D$62,"Transport",$F$10:$F$62,"N")</f>
        <v>1640</v>
      </c>
      <c r="G76" s="16" t="n">
        <f aca="false">SUMIFS($K$10:$K$62,$A$10:$A$62,A76,$D$10:$D$62,"Transport",$F$10:$F$62,"N")</f>
        <v>10.9333333333333</v>
      </c>
      <c r="H76" s="18" t="n">
        <f aca="false">SUMIFS($J$10:$J$62,$A$10:$A$62,A76,$D$10:$D$62,"Activities",$F$10:$F$62,"N")</f>
        <v>1200</v>
      </c>
      <c r="I76" s="16" t="n">
        <f aca="false">SUMIFS($K$10:$K$62,$A$10:$A$62,A76,$D$10:$D$62,"Activities",$F$10:$F$62,"N")</f>
        <v>8</v>
      </c>
      <c r="J76" s="18" t="n">
        <f aca="false">SUMIFS($J$10:$J$62,$A$10:$A$62,A76,$D$10:$D$62,"Food",$F$10:$F$62,"N")</f>
        <v>10000</v>
      </c>
      <c r="K76" s="16" t="n">
        <f aca="false">SUMIFS($K$10:$K$62,$A$10:$A$62,A76,$D$10:$D$62,"Food",$F$10:$F$62,"N")</f>
        <v>66.6666666666667</v>
      </c>
      <c r="L76" s="18" t="n">
        <f aca="false">SUMIFS($J$10:$J$62,$A$10:$A$62,A76,$F$10:$F$62,"Y")</f>
        <v>0</v>
      </c>
      <c r="M76" s="16" t="n">
        <f aca="false">SUMIFS($K$10:$K$62,$A$10:$A$62,A76,$F$10:$F$62,"Y")</f>
        <v>0</v>
      </c>
      <c r="N76" s="25" t="n">
        <f aca="false">D76+F76+H76+J76+L76</f>
        <v>45542</v>
      </c>
      <c r="O76" s="26" t="n">
        <f aca="false">E76+G76+I76+K76+M76</f>
        <v>303.613333333333</v>
      </c>
    </row>
    <row r="77" customFormat="false" ht="15" hidden="false" customHeight="true" outlineLevel="0" collapsed="false">
      <c r="A77" s="14" t="n">
        <v>12</v>
      </c>
      <c r="B77" s="14" t="s">
        <v>223</v>
      </c>
      <c r="C77" s="14" t="s">
        <v>15</v>
      </c>
      <c r="D77" s="18" t="n">
        <f aca="false">SUMIFS($J$10:$J$62,$A$10:$A$62,A77,$D$10:$D$62,"Lodging",$F$10:$F$62,"N")</f>
        <v>0</v>
      </c>
      <c r="E77" s="16" t="n">
        <f aca="false">SUMIFS($K$10:$K$62,$A$10:$A$62,A77,$D$10:$D$62,"Lodging",$F$10:$F$62,"N")</f>
        <v>0</v>
      </c>
      <c r="F77" s="18" t="n">
        <f aca="false">SUMIFS($J$10:$J$62,$A$10:$A$62,A77,$D$10:$D$62,"Transport",$F$10:$F$62,"N")</f>
        <v>3200</v>
      </c>
      <c r="G77" s="16" t="n">
        <f aca="false">SUMIFS($K$10:$K$62,$A$10:$A$62,A77,$D$10:$D$62,"Transport",$F$10:$F$62,"N")</f>
        <v>21.3333333333333</v>
      </c>
      <c r="H77" s="18" t="n">
        <f aca="false">SUMIFS($J$10:$J$62,$A$10:$A$62,A77,$D$10:$D$62,"Activities",$F$10:$F$62,"N")</f>
        <v>0</v>
      </c>
      <c r="I77" s="16" t="n">
        <f aca="false">SUMIFS($K$10:$K$62,$A$10:$A$62,A77,$D$10:$D$62,"Activities",$F$10:$F$62,"N")</f>
        <v>0</v>
      </c>
      <c r="J77" s="18" t="n">
        <f aca="false">SUMIFS($J$10:$J$62,$A$10:$A$62,A77,$D$10:$D$62,"Food",$F$10:$F$62,"N")</f>
        <v>6000</v>
      </c>
      <c r="K77" s="16" t="n">
        <f aca="false">SUMIFS($K$10:$K$62,$A$10:$A$62,A77,$D$10:$D$62,"Food",$F$10:$F$62,"N")</f>
        <v>40</v>
      </c>
      <c r="L77" s="18" t="n">
        <f aca="false">SUMIFS($J$10:$J$62,$A$10:$A$62,A77,$F$10:$F$62,"Y")</f>
        <v>0</v>
      </c>
      <c r="M77" s="16" t="n">
        <f aca="false">SUMIFS($K$10:$K$62,$A$10:$A$62,A77,$F$10:$F$62,"Y")</f>
        <v>0</v>
      </c>
      <c r="N77" s="25" t="n">
        <f aca="false">D77+F77+H77+J77+L77</f>
        <v>9200</v>
      </c>
      <c r="O77" s="26" t="n">
        <f aca="false">E77+G77+I77+K77+M77</f>
        <v>61.3333333333333</v>
      </c>
    </row>
    <row r="78" customFormat="false" ht="15" hidden="false" customHeight="true" outlineLevel="0" collapsed="false">
      <c r="A78" s="5" t="s">
        <v>248</v>
      </c>
      <c r="D78" s="27" t="n">
        <f aca="false">SUM(D66:D77)</f>
        <v>494472</v>
      </c>
      <c r="E78" s="28" t="n">
        <f aca="false">SUM(E66:E77)</f>
        <v>3296.48</v>
      </c>
      <c r="F78" s="27" t="n">
        <f aca="false">SUM(F66:F77)</f>
        <v>69440</v>
      </c>
      <c r="G78" s="28" t="n">
        <f aca="false">SUM(G66:G77)</f>
        <v>462.933333333333</v>
      </c>
      <c r="H78" s="27" t="n">
        <f aca="false">SUM(H66:H77)</f>
        <v>199600</v>
      </c>
      <c r="I78" s="28" t="n">
        <f aca="false">SUM(I66:I77)</f>
        <v>1330.66666666667</v>
      </c>
      <c r="J78" s="27" t="n">
        <f aca="false">SUM(J66:J77)</f>
        <v>108800</v>
      </c>
      <c r="K78" s="28" t="n">
        <f aca="false">SUM(K66:K77)</f>
        <v>725.333333333333</v>
      </c>
      <c r="L78" s="27" t="n">
        <f aca="false">SUM(L66:L77)</f>
        <v>90500</v>
      </c>
      <c r="M78" s="28" t="n">
        <f aca="false">SUM(M66:M77)</f>
        <v>603.333333333333</v>
      </c>
      <c r="N78" s="27" t="n">
        <f aca="false">SUM(N66:N77)</f>
        <v>962812</v>
      </c>
      <c r="O78" s="28" t="n">
        <f aca="false">SUM(O66:O77)</f>
        <v>6418.74666666667</v>
      </c>
    </row>
    <row r="79" customFormat="false" ht="15" hidden="false" customHeight="true" outlineLevel="0" collapsed="false"/>
    <row r="80" customFormat="false" ht="15" hidden="false" customHeight="true" outlineLevel="0" collapsed="false">
      <c r="A80" s="29" t="s">
        <v>249</v>
      </c>
      <c r="B80" s="29"/>
      <c r="C80" s="29"/>
      <c r="D80" s="30" t="n">
        <f aca="false">N78-L78</f>
        <v>872312</v>
      </c>
      <c r="E80" s="31" t="n">
        <f aca="false">O78-M78</f>
        <v>5815.41333333333</v>
      </c>
    </row>
    <row r="81" customFormat="false" ht="15" hidden="false" customHeight="true" outlineLevel="0" collapsed="false">
      <c r="A81" s="29" t="s">
        <v>250</v>
      </c>
      <c r="B81" s="29"/>
      <c r="C81" s="29"/>
      <c r="D81" s="30" t="n">
        <f aca="false">L78</f>
        <v>90500</v>
      </c>
      <c r="E81" s="31" t="n">
        <f aca="false">M78</f>
        <v>603.333333333333</v>
      </c>
    </row>
    <row r="82" customFormat="false" ht="15" hidden="false" customHeight="true" outlineLevel="0" collapsed="false">
      <c r="A82" s="29" t="s">
        <v>251</v>
      </c>
      <c r="B82" s="29"/>
      <c r="C82" s="29"/>
      <c r="D82" s="30" t="n">
        <f aca="false">N78</f>
        <v>962812</v>
      </c>
      <c r="E82" s="31" t="n">
        <f aca="false">O78</f>
        <v>6418.74666666667</v>
      </c>
    </row>
    <row r="83" customFormat="false" ht="15" hidden="false" customHeight="true" outlineLevel="0" collapsed="false"/>
    <row r="84" customFormat="false" ht="23.25" hidden="false" customHeight="true" outlineLevel="0" collapsed="false">
      <c r="A84" s="29" t="s">
        <v>252</v>
      </c>
      <c r="B84" s="29"/>
      <c r="C84" s="29"/>
      <c r="D84" s="32" t="n">
        <f aca="false">N78/$B$4</f>
        <v>481406</v>
      </c>
      <c r="E84" s="32" t="n">
        <f aca="false">O78/$B$4</f>
        <v>3209.37333333333</v>
      </c>
    </row>
    <row r="85" customFormat="false" ht="370.5" hidden="false" customHeight="true" outlineLevel="0" collapsed="false"/>
    <row r="86" customFormat="false" ht="23.85" hidden="false" customHeight="true" outlineLevel="0" collapsed="false">
      <c r="A86" s="33" t="s">
        <v>253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</row>
  </sheetData>
  <mergeCells count="8">
    <mergeCell ref="A1:F1"/>
    <mergeCell ref="A8:J8"/>
    <mergeCell ref="A64:O64"/>
    <mergeCell ref="A80:C80"/>
    <mergeCell ref="A81:C81"/>
    <mergeCell ref="A82:C82"/>
    <mergeCell ref="A84:C84"/>
    <mergeCell ref="A86:O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2026-07-16T20:47:41Z</dcterms:created>
  <dc:creator>openpyxl</dc:creator>
  <dc:description/>
  <dc:language>en-US</dc:language>
  <cp:lastModifiedBy/>
  <dcterms:modified xsi:type="dcterms:W3CDTF">2026-09-02T03:56:54Z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